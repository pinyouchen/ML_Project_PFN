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L_Project_Disease\dataset\"/>
    </mc:Choice>
  </mc:AlternateContent>
  <xr:revisionPtr revIDLastSave="0" documentId="13_ncr:1_{C8B3A9BE-14F7-4651-AC15-480D86111EC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ata1" sheetId="1" r:id="rId1"/>
    <sheet name="Data2" sheetId="5" r:id="rId2"/>
    <sheet name="Filled_AllData" sheetId="6" r:id="rId3"/>
    <sheet name="LABEL_Amount" sheetId="7" r:id="rId4"/>
  </sheets>
  <definedNames>
    <definedName name="_xlnm._FilterDatabase" localSheetId="0" hidden="1">Data1!$A$1:$R$503</definedName>
    <definedName name="_xlnm._FilterDatabase" localSheetId="1" hidden="1">Data2!$A$1:$Y$365</definedName>
    <definedName name="_xlnm._FilterDatabase" localSheetId="2" hidden="1">Filled_AllData!$A$1:$AA$867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42" i="6" l="1"/>
  <c r="O840" i="6"/>
  <c r="O839" i="6"/>
  <c r="O670" i="6"/>
  <c r="O650" i="6"/>
  <c r="O647" i="6"/>
  <c r="O600" i="6"/>
  <c r="H15" i="7"/>
  <c r="L15" i="7"/>
  <c r="K15" i="7"/>
  <c r="J15" i="7"/>
  <c r="I15" i="7"/>
  <c r="J6" i="7"/>
  <c r="I6" i="7"/>
  <c r="K6" i="7"/>
  <c r="L6" i="7"/>
  <c r="H6" i="7"/>
  <c r="Y340" i="5"/>
  <c r="X340" i="5"/>
  <c r="Y338" i="5"/>
  <c r="X338" i="5"/>
  <c r="Y337" i="5"/>
  <c r="X337" i="5"/>
  <c r="Y168" i="5"/>
  <c r="X168" i="5"/>
  <c r="Y148" i="5"/>
  <c r="X148" i="5"/>
  <c r="Y145" i="5"/>
  <c r="X145" i="5"/>
  <c r="Y98" i="5"/>
  <c r="X98" i="5"/>
</calcChain>
</file>

<file path=xl/sharedStrings.xml><?xml version="1.0" encoding="utf-8"?>
<sst xmlns="http://schemas.openxmlformats.org/spreadsheetml/2006/main" count="812" uniqueCount="776">
  <si>
    <t>Age</t>
  </si>
  <si>
    <t>Sex</t>
  </si>
  <si>
    <t>BMI</t>
  </si>
  <si>
    <t>SSD</t>
  </si>
  <si>
    <t>MDD</t>
  </si>
  <si>
    <t>Panic</t>
  </si>
  <si>
    <t>GAD</t>
  </si>
  <si>
    <t>DM</t>
  </si>
  <si>
    <t>TCA</t>
  </si>
  <si>
    <t>MARTA</t>
  </si>
  <si>
    <t>SDNN</t>
  </si>
  <si>
    <t>LF</t>
  </si>
  <si>
    <t>HF</t>
  </si>
  <si>
    <t>LFHF</t>
  </si>
  <si>
    <t>SC</t>
  </si>
  <si>
    <t>FT</t>
  </si>
  <si>
    <t>RSA</t>
  </si>
  <si>
    <t>phq15</t>
  </si>
  <si>
    <t>haq21</t>
  </si>
  <si>
    <t>cabah</t>
  </si>
  <si>
    <t>bdi</t>
  </si>
  <si>
    <t>bai</t>
  </si>
  <si>
    <t>Health</t>
    <phoneticPr fontId="1" type="noConversion"/>
  </si>
  <si>
    <t>number</t>
  </si>
  <si>
    <t>MDD</t>
    <phoneticPr fontId="4" type="noConversion"/>
  </si>
  <si>
    <t>GAD</t>
    <phoneticPr fontId="4" type="noConversion"/>
  </si>
  <si>
    <t>height</t>
  </si>
  <si>
    <t>BW</t>
  </si>
  <si>
    <t>hrvnum</t>
  </si>
  <si>
    <t xml:space="preserve">CTYLA0001 </t>
  </si>
  <si>
    <t>KYF00096</t>
  </si>
  <si>
    <t>CTYLA0002</t>
  </si>
  <si>
    <t>KYF00104</t>
  </si>
  <si>
    <t>CTYLA0003</t>
    <phoneticPr fontId="4" type="noConversion"/>
  </si>
  <si>
    <t>KYF00121</t>
    <phoneticPr fontId="4" type="noConversion"/>
  </si>
  <si>
    <t>CTYLA0004</t>
  </si>
  <si>
    <t>KYF00126</t>
  </si>
  <si>
    <t>CTYLA0005</t>
  </si>
  <si>
    <t>KYF00129</t>
  </si>
  <si>
    <t>CTYLA0006</t>
  </si>
  <si>
    <t>KYF00130</t>
  </si>
  <si>
    <t>CTYLA0007</t>
  </si>
  <si>
    <t>KYF00132</t>
  </si>
  <si>
    <t>CTYLA0008</t>
  </si>
  <si>
    <t>KYF00134</t>
  </si>
  <si>
    <t>CTYLB0001</t>
    <phoneticPr fontId="4" type="noConversion"/>
  </si>
  <si>
    <t>KYF00086</t>
  </si>
  <si>
    <t>CTYLC0001</t>
    <phoneticPr fontId="4" type="noConversion"/>
  </si>
  <si>
    <t>KYF00072</t>
  </si>
  <si>
    <t>CTYLC0002</t>
  </si>
  <si>
    <t>KYF00073</t>
  </si>
  <si>
    <t>CTYLC0003</t>
  </si>
  <si>
    <t>KYF00074</t>
  </si>
  <si>
    <t>CTYLC0004</t>
  </si>
  <si>
    <t>KYF00075</t>
  </si>
  <si>
    <t>CTYLC0005</t>
  </si>
  <si>
    <t>KYF00076</t>
    <phoneticPr fontId="4" type="noConversion"/>
  </si>
  <si>
    <t>CTYLC0006</t>
  </si>
  <si>
    <t>KYF00077</t>
    <phoneticPr fontId="4" type="noConversion"/>
  </si>
  <si>
    <t>CTYLC0007</t>
  </si>
  <si>
    <t>KYF00078</t>
  </si>
  <si>
    <t>CTYLC0008</t>
  </si>
  <si>
    <t>KYF00079</t>
  </si>
  <si>
    <t>CTYLC0009</t>
  </si>
  <si>
    <t>KYF00080</t>
  </si>
  <si>
    <t>CTYLC0010</t>
  </si>
  <si>
    <t>KYF00081</t>
  </si>
  <si>
    <t>CTYLC0011</t>
  </si>
  <si>
    <t>KYF00082</t>
  </si>
  <si>
    <t>CTYLC0012</t>
  </si>
  <si>
    <t>KYF00083</t>
  </si>
  <si>
    <t>CTYLC0013</t>
  </si>
  <si>
    <t>KYF00084</t>
  </si>
  <si>
    <t>CTYLC0014</t>
    <phoneticPr fontId="4" type="noConversion"/>
  </si>
  <si>
    <t>KYF00087</t>
  </si>
  <si>
    <t>CTYLC0015</t>
  </si>
  <si>
    <t>KYF00089</t>
  </si>
  <si>
    <t>CTYLC0016</t>
  </si>
  <si>
    <t>KYF00090</t>
  </si>
  <si>
    <t>CTYLC0017</t>
  </si>
  <si>
    <t>KYF00091</t>
  </si>
  <si>
    <t>CTYLC0018</t>
  </si>
  <si>
    <t>KYF00092</t>
  </si>
  <si>
    <t>CTYLC0019</t>
  </si>
  <si>
    <t>KYF00093</t>
  </si>
  <si>
    <t>CTYLC0020</t>
  </si>
  <si>
    <t>KYF00094</t>
  </si>
  <si>
    <t>CTYLC0021</t>
  </si>
  <si>
    <t>KYF00095</t>
  </si>
  <si>
    <t>CTYLC0022</t>
  </si>
  <si>
    <t>KYF00097</t>
  </si>
  <si>
    <t>CTYLC0023</t>
  </si>
  <si>
    <t>KYF00098</t>
  </si>
  <si>
    <t>CTYLC0024</t>
  </si>
  <si>
    <t>KYF00099</t>
  </si>
  <si>
    <t>CTYLC0025</t>
  </si>
  <si>
    <t>KYF00100</t>
  </si>
  <si>
    <t>CTYLC0026</t>
  </si>
  <si>
    <t>KYF00101</t>
  </si>
  <si>
    <t>CTYLC0027</t>
  </si>
  <si>
    <t>KYF00103</t>
  </si>
  <si>
    <t>CTYLC0028</t>
  </si>
  <si>
    <t>KYF00105</t>
  </si>
  <si>
    <t>CTYLC0029</t>
  </si>
  <si>
    <t>KYF00106</t>
  </si>
  <si>
    <t>CTYLC0030</t>
    <phoneticPr fontId="4" type="noConversion"/>
  </si>
  <si>
    <t>KYF00107</t>
  </si>
  <si>
    <t>CTYLC0031</t>
  </si>
  <si>
    <t>KYF00108</t>
  </si>
  <si>
    <t>CTYLC0032</t>
  </si>
  <si>
    <t>KYF00109</t>
    <phoneticPr fontId="4" type="noConversion"/>
  </si>
  <si>
    <t>CTYLC0033</t>
  </si>
  <si>
    <t>KYF00110</t>
  </si>
  <si>
    <t>CTYLC0034</t>
  </si>
  <si>
    <t>KYF00111</t>
  </si>
  <si>
    <t>CTYLC0035</t>
  </si>
  <si>
    <t>KYF00112</t>
  </si>
  <si>
    <t>CTYLC0036</t>
  </si>
  <si>
    <t>KYF00113</t>
  </si>
  <si>
    <t>CTYLC0037</t>
  </si>
  <si>
    <t>KYF00115</t>
  </si>
  <si>
    <t>CTYLC0038</t>
  </si>
  <si>
    <t>KYF00116</t>
  </si>
  <si>
    <t>CTYLC0039</t>
  </si>
  <si>
    <t>KYF00117</t>
  </si>
  <si>
    <t>CTYLC0040</t>
  </si>
  <si>
    <t>KYF00118</t>
  </si>
  <si>
    <t>CTYLC0041</t>
  </si>
  <si>
    <t>KYF00122</t>
  </si>
  <si>
    <t>CTYLC0042</t>
  </si>
  <si>
    <t>KYF00123</t>
  </si>
  <si>
    <t>CTYLC0043</t>
    <phoneticPr fontId="4" type="noConversion"/>
  </si>
  <si>
    <t>KYF00124</t>
  </si>
  <si>
    <t>CTYLC0044</t>
  </si>
  <si>
    <t>KYF00125</t>
  </si>
  <si>
    <t>CTYLC0045</t>
  </si>
  <si>
    <t>KYF00127</t>
  </si>
  <si>
    <t>CTYLC0046</t>
  </si>
  <si>
    <t>KYF00128</t>
  </si>
  <si>
    <t>CTYLC0047</t>
  </si>
  <si>
    <t>KYF00131</t>
    <phoneticPr fontId="4" type="noConversion"/>
  </si>
  <si>
    <t>CTYLC0048</t>
  </si>
  <si>
    <t>KYF00133</t>
  </si>
  <si>
    <t>CTYLC0049</t>
  </si>
  <si>
    <t>KYF00136</t>
  </si>
  <si>
    <t>CTYLC0050</t>
  </si>
  <si>
    <t>KYF00137</t>
  </si>
  <si>
    <t>CTYLC0051</t>
  </si>
  <si>
    <t>KYF00138</t>
  </si>
  <si>
    <t>CTYLC0052</t>
  </si>
  <si>
    <t>KYF00139</t>
  </si>
  <si>
    <t>CTYLC0053</t>
  </si>
  <si>
    <t>KYF00140</t>
  </si>
  <si>
    <t>CTYLC0054</t>
  </si>
  <si>
    <t>KYF00141</t>
  </si>
  <si>
    <t>CTYLC0055</t>
  </si>
  <si>
    <t>KYF00142</t>
  </si>
  <si>
    <t>CTYLA0009</t>
    <phoneticPr fontId="4" type="noConversion"/>
  </si>
  <si>
    <t>KYF00143</t>
  </si>
  <si>
    <t>CTYLA0010</t>
  </si>
  <si>
    <t>KYF00144</t>
    <phoneticPr fontId="4" type="noConversion"/>
  </si>
  <si>
    <t>CTYLA0011</t>
  </si>
  <si>
    <t>KYF00148</t>
  </si>
  <si>
    <t>CTYLA0012</t>
  </si>
  <si>
    <t>KYF00151</t>
  </si>
  <si>
    <t>CTYLA0013</t>
  </si>
  <si>
    <t>KYF00154</t>
    <phoneticPr fontId="4" type="noConversion"/>
  </si>
  <si>
    <t>CTYLA0014</t>
  </si>
  <si>
    <t>KYF00159</t>
  </si>
  <si>
    <t>CTYLA0015</t>
  </si>
  <si>
    <t>KYF00160</t>
  </si>
  <si>
    <t>CTYLB0002</t>
  </si>
  <si>
    <t>KYF00157</t>
  </si>
  <si>
    <t>CTYLB0003</t>
  </si>
  <si>
    <t>KYF00163</t>
  </si>
  <si>
    <t>CTYLB0004</t>
  </si>
  <si>
    <t>KYF00164</t>
  </si>
  <si>
    <t>CTYLA0016</t>
    <phoneticPr fontId="4" type="noConversion"/>
  </si>
  <si>
    <t>KYF00166</t>
  </si>
  <si>
    <t>CTYLA0017</t>
  </si>
  <si>
    <t>KYF00169</t>
  </si>
  <si>
    <t>CTYLA0018</t>
  </si>
  <si>
    <t>KYF00170</t>
    <phoneticPr fontId="4" type="noConversion"/>
  </si>
  <si>
    <t>CTYLA0019</t>
  </si>
  <si>
    <t>KYF00171</t>
  </si>
  <si>
    <t>CTYLA0020</t>
  </si>
  <si>
    <t>KYF00174</t>
  </si>
  <si>
    <t>CTYLA0021</t>
  </si>
  <si>
    <t>KYF00176</t>
  </si>
  <si>
    <t>CTYLA0022</t>
  </si>
  <si>
    <t>KYF00177</t>
  </si>
  <si>
    <t>CTYLA0023</t>
  </si>
  <si>
    <t>KYF00178</t>
  </si>
  <si>
    <t>CTYLA0024</t>
  </si>
  <si>
    <t>KYF00179</t>
  </si>
  <si>
    <t>CTYLA0025</t>
  </si>
  <si>
    <t>KYF00181</t>
  </si>
  <si>
    <t>CTYLA0026</t>
  </si>
  <si>
    <t>KYF00182</t>
  </si>
  <si>
    <t>CTYLB0005</t>
    <phoneticPr fontId="4" type="noConversion"/>
  </si>
  <si>
    <t>KYF00187</t>
  </si>
  <si>
    <t>CTYLB0006</t>
  </si>
  <si>
    <t>KYF00192</t>
    <phoneticPr fontId="4" type="noConversion"/>
  </si>
  <si>
    <t>CTYLA0027</t>
  </si>
  <si>
    <t>KYF00188</t>
  </si>
  <si>
    <t>CTYLA0028</t>
  </si>
  <si>
    <t>KYF00190</t>
    <phoneticPr fontId="4" type="noConversion"/>
  </si>
  <si>
    <t>CTYLA0029</t>
  </si>
  <si>
    <t>KYF00191</t>
  </si>
  <si>
    <t>CTYLA0030</t>
  </si>
  <si>
    <t>KYF00195</t>
  </si>
  <si>
    <t>CTYLA0031</t>
  </si>
  <si>
    <t>KYF00196</t>
  </si>
  <si>
    <t>CTYLA0032</t>
  </si>
  <si>
    <t>KYF00197</t>
  </si>
  <si>
    <t>CTYLA0033</t>
  </si>
  <si>
    <t>KYF00114</t>
  </si>
  <si>
    <t>CTYLA0034</t>
  </si>
  <si>
    <t>KYF00202</t>
  </si>
  <si>
    <t>CTYLA0035</t>
  </si>
  <si>
    <t>KYF00203</t>
  </si>
  <si>
    <t>CTYLA0036</t>
  </si>
  <si>
    <t>KYF00204</t>
  </si>
  <si>
    <t>CTYLC0056</t>
    <phoneticPr fontId="4" type="noConversion"/>
  </si>
  <si>
    <t>KYF00149</t>
  </si>
  <si>
    <t>CTYLC0057</t>
  </si>
  <si>
    <t>KYF00150</t>
  </si>
  <si>
    <t>CTYLC0058</t>
  </si>
  <si>
    <t>KYF00158</t>
  </si>
  <si>
    <t>CTYLC0059</t>
  </si>
  <si>
    <t>KYF00162</t>
  </si>
  <si>
    <t>CTYLC0060</t>
  </si>
  <si>
    <t>KYF00165</t>
  </si>
  <si>
    <t>CTYLC0061</t>
  </si>
  <si>
    <t>KYF00167</t>
  </si>
  <si>
    <t>CTYLC0062</t>
  </si>
  <si>
    <t>KYF00168</t>
  </si>
  <si>
    <t>CTYLC0063</t>
  </si>
  <si>
    <t>KYF00175</t>
  </si>
  <si>
    <t>CTYLC0064</t>
  </si>
  <si>
    <t>KYF00180</t>
  </si>
  <si>
    <t>CTYLC0066</t>
  </si>
  <si>
    <t>KYF00193</t>
  </si>
  <si>
    <t>CTYLC0067</t>
  </si>
  <si>
    <t>KYF00194</t>
  </si>
  <si>
    <t>CTYLC0068</t>
  </si>
  <si>
    <t>KYF00198</t>
  </si>
  <si>
    <t>CTYLC0069</t>
  </si>
  <si>
    <t>KYF00199</t>
  </si>
  <si>
    <t>CTYLC0070</t>
  </si>
  <si>
    <t>KYF00200</t>
  </si>
  <si>
    <t>CTYLC0071</t>
  </si>
  <si>
    <t>KYF00201</t>
  </si>
  <si>
    <t>CTYLC0072</t>
  </si>
  <si>
    <t>KYF00208</t>
    <phoneticPr fontId="4" type="noConversion"/>
  </si>
  <si>
    <t>CTYLA0037</t>
    <phoneticPr fontId="4" type="noConversion"/>
  </si>
  <si>
    <t>KYF00205</t>
  </si>
  <si>
    <t>CTYLA0038</t>
  </si>
  <si>
    <t>KYF00209</t>
  </si>
  <si>
    <t>CTYLA0039</t>
  </si>
  <si>
    <t>KYF00210</t>
  </si>
  <si>
    <t>CTYLA0040</t>
  </si>
  <si>
    <t>KYF00211</t>
  </si>
  <si>
    <t>CTYLB0007</t>
  </si>
  <si>
    <t>KYF00212</t>
  </si>
  <si>
    <t>CTYLA0041</t>
  </si>
  <si>
    <t>KYF00213</t>
  </si>
  <si>
    <t>CTYLA0042</t>
  </si>
  <si>
    <t>KYF00214</t>
  </si>
  <si>
    <t>CTYLA0043</t>
  </si>
  <si>
    <t>KYF00215</t>
  </si>
  <si>
    <t>CTYLA0044</t>
  </si>
  <si>
    <t>KYF00216</t>
  </si>
  <si>
    <t>CTYLA0045</t>
  </si>
  <si>
    <t>KYF00217</t>
  </si>
  <si>
    <t>CTYLA0046</t>
  </si>
  <si>
    <t>KYF00218</t>
  </si>
  <si>
    <t>CTYLA0047</t>
  </si>
  <si>
    <t>KYF00219</t>
    <phoneticPr fontId="4" type="noConversion"/>
  </si>
  <si>
    <t>CTYLB0008</t>
    <phoneticPr fontId="4" type="noConversion"/>
  </si>
  <si>
    <t>KYF00220</t>
  </si>
  <si>
    <t>CTYLA0048</t>
  </si>
  <si>
    <t>KYF00221</t>
  </si>
  <si>
    <t>CTYLA0049</t>
  </si>
  <si>
    <t>KYF00228</t>
    <phoneticPr fontId="4" type="noConversion"/>
  </si>
  <si>
    <t>CTYLA0050</t>
  </si>
  <si>
    <t>KYF00232</t>
    <phoneticPr fontId="4" type="noConversion"/>
  </si>
  <si>
    <t>CTYLA0051</t>
  </si>
  <si>
    <t>KYF00233</t>
  </si>
  <si>
    <t>CTYLA0052</t>
  </si>
  <si>
    <t>KYF00237</t>
  </si>
  <si>
    <t>CTYLA0053</t>
  </si>
  <si>
    <t>KYF00238</t>
  </si>
  <si>
    <t>CTYLC0073</t>
    <phoneticPr fontId="4" type="noConversion"/>
  </si>
  <si>
    <t>KYF00222</t>
  </si>
  <si>
    <t>CTYLC0074</t>
  </si>
  <si>
    <t>KYF00224</t>
  </si>
  <si>
    <t>CTYLC0075</t>
  </si>
  <si>
    <t>KYF00225</t>
  </si>
  <si>
    <t>CTYLC0076</t>
  </si>
  <si>
    <t>KYF00226</t>
    <phoneticPr fontId="4" type="noConversion"/>
  </si>
  <si>
    <t>CTYLC0077</t>
  </si>
  <si>
    <t>KYF00227</t>
  </si>
  <si>
    <t>CTYLC0078</t>
  </si>
  <si>
    <t>KYF00230</t>
  </si>
  <si>
    <t>CTYLC0079</t>
  </si>
  <si>
    <t>KYF00234</t>
  </si>
  <si>
    <t>CTYLC0080</t>
  </si>
  <si>
    <t>KYF00235</t>
  </si>
  <si>
    <t>CTYLC0081</t>
  </si>
  <si>
    <t>KYF00236</t>
  </si>
  <si>
    <t>CTYLC0082</t>
  </si>
  <si>
    <t>KYF00239</t>
  </si>
  <si>
    <t>CTYLC0083</t>
  </si>
  <si>
    <t>KYF00241</t>
  </si>
  <si>
    <t>CTYLC0084</t>
  </si>
  <si>
    <t>KYF00242</t>
  </si>
  <si>
    <t>CTYLC0085</t>
  </si>
  <si>
    <t>KYF00243</t>
  </si>
  <si>
    <t>CTYLC0086</t>
  </si>
  <si>
    <t>KYF00245</t>
  </si>
  <si>
    <t>CTYLC0087</t>
  </si>
  <si>
    <t>KYF00246</t>
  </si>
  <si>
    <t>CTYLB0009</t>
    <phoneticPr fontId="4" type="noConversion"/>
  </si>
  <si>
    <t>KYF00244</t>
  </si>
  <si>
    <t>CTYLB0010</t>
  </si>
  <si>
    <t>KYF00247</t>
  </si>
  <si>
    <t>CTYLA0054</t>
  </si>
  <si>
    <t>KYF00248</t>
  </si>
  <si>
    <t>CTYLA0055</t>
  </si>
  <si>
    <t>KYF00249</t>
  </si>
  <si>
    <t>CTYLA0056</t>
  </si>
  <si>
    <t>KYF00001_A56</t>
    <phoneticPr fontId="4" type="noConversion"/>
  </si>
  <si>
    <t>CTYLB0011</t>
    <phoneticPr fontId="4" type="noConversion"/>
  </si>
  <si>
    <t>KYF00254</t>
  </si>
  <si>
    <t>CTYLB0012</t>
  </si>
  <si>
    <t>KYF00255</t>
  </si>
  <si>
    <t>CTYLB0013</t>
  </si>
  <si>
    <t>KYF00013_B13</t>
  </si>
  <si>
    <t>CTYLA0057</t>
  </si>
  <si>
    <t>KYF00018_A57</t>
  </si>
  <si>
    <t>CTYLA0058</t>
  </si>
  <si>
    <t>KYF00020_A58</t>
  </si>
  <si>
    <t>CTYLA0059</t>
  </si>
  <si>
    <t>KYF00029_A59</t>
  </si>
  <si>
    <t>CTYLA0060</t>
  </si>
  <si>
    <t>KYF00031_A60</t>
    <phoneticPr fontId="4" type="noConversion"/>
  </si>
  <si>
    <t>CTYLB0014</t>
  </si>
  <si>
    <t>KYF00022_B14</t>
    <phoneticPr fontId="4" type="noConversion"/>
  </si>
  <si>
    <t>CTYLB0015</t>
  </si>
  <si>
    <t>KYF00033_B15</t>
  </si>
  <si>
    <t>CTYLB0016</t>
  </si>
  <si>
    <t>KYF00032_B16</t>
  </si>
  <si>
    <t>CTYLB0017</t>
  </si>
  <si>
    <t>KYF00035_B17</t>
  </si>
  <si>
    <t>CTYLB0018</t>
  </si>
  <si>
    <t>KYF00038_B18</t>
  </si>
  <si>
    <t>CTYLB0019</t>
  </si>
  <si>
    <t>KYF00040_B19</t>
    <phoneticPr fontId="4" type="noConversion"/>
  </si>
  <si>
    <t>CTYLA0061</t>
    <phoneticPr fontId="4" type="noConversion"/>
  </si>
  <si>
    <t>KYF00041_A61</t>
  </si>
  <si>
    <t>CTYLC0088</t>
    <phoneticPr fontId="4" type="noConversion"/>
  </si>
  <si>
    <t>KYF00250</t>
    <phoneticPr fontId="4" type="noConversion"/>
  </si>
  <si>
    <t>CTYLC0089</t>
  </si>
  <si>
    <t>KYF00251</t>
  </si>
  <si>
    <t>CTYLC0090</t>
  </si>
  <si>
    <t>KYF00252</t>
  </si>
  <si>
    <t>CTYLC0091</t>
  </si>
  <si>
    <t>KYF00253</t>
  </si>
  <si>
    <t>CTYLC0092</t>
  </si>
  <si>
    <t>KYF00002_C92</t>
  </si>
  <si>
    <t>CTYLC0093</t>
  </si>
  <si>
    <t>KYF00003_C93</t>
    <phoneticPr fontId="4" type="noConversion"/>
  </si>
  <si>
    <t>CTYLC0094</t>
  </si>
  <si>
    <t>KYF00004_C94</t>
  </si>
  <si>
    <t>CTYLC0095</t>
  </si>
  <si>
    <t>KYF00005_C95</t>
  </si>
  <si>
    <t>CTYLC0096</t>
  </si>
  <si>
    <t>KYF00006_C96</t>
  </si>
  <si>
    <t>CTYLC0097</t>
  </si>
  <si>
    <t>KYF00008_C97</t>
    <phoneticPr fontId="4" type="noConversion"/>
  </si>
  <si>
    <t>CTYLC0098</t>
  </si>
  <si>
    <t>KYF00009_C98</t>
    <phoneticPr fontId="4" type="noConversion"/>
  </si>
  <si>
    <t>CTYLC0099</t>
  </si>
  <si>
    <t>KYF00010_C99</t>
  </si>
  <si>
    <t>CTYLC0100</t>
  </si>
  <si>
    <t>KYF00011_C100</t>
  </si>
  <si>
    <t>CTYLC0101</t>
  </si>
  <si>
    <t>KYF00014_C101</t>
  </si>
  <si>
    <t>CTYLC0102</t>
  </si>
  <si>
    <t>KYF00016_C102</t>
  </si>
  <si>
    <t>CTYLC0103</t>
  </si>
  <si>
    <t>KYF00019_C103</t>
  </si>
  <si>
    <t>CTYLC0104</t>
  </si>
  <si>
    <t>KYF00021_C104</t>
  </si>
  <si>
    <t>CTYLC0105</t>
  </si>
  <si>
    <t>KYF00023_C105</t>
  </si>
  <si>
    <t>CTYLC0106</t>
  </si>
  <si>
    <t>KYF00024_C106</t>
  </si>
  <si>
    <t>CTYLC0107</t>
  </si>
  <si>
    <t>KYF00025_C107</t>
  </si>
  <si>
    <t>CTYLC0108</t>
  </si>
  <si>
    <t>KYF00027_C108</t>
  </si>
  <si>
    <t>CTYLC0109</t>
  </si>
  <si>
    <t>KYF00028_C109</t>
  </si>
  <si>
    <t>CTYLC0110</t>
  </si>
  <si>
    <t>KYF00030_C110</t>
  </si>
  <si>
    <t>CTYLC0111</t>
  </si>
  <si>
    <t>KYF00036_C111</t>
  </si>
  <si>
    <t>CTYLC0112</t>
  </si>
  <si>
    <t>KYF00037_C112</t>
  </si>
  <si>
    <t>CTYLC0113</t>
  </si>
  <si>
    <t>KYF00042_C113</t>
    <phoneticPr fontId="4" type="noConversion"/>
  </si>
  <si>
    <t>CTYLC0114</t>
  </si>
  <si>
    <t>KYF00007_C114</t>
  </si>
  <si>
    <t>CTYLC0115</t>
  </si>
  <si>
    <t>KYF00047_C115</t>
  </si>
  <si>
    <t>CTYLB0020</t>
    <phoneticPr fontId="4" type="noConversion"/>
  </si>
  <si>
    <t>KYF00043_B20</t>
  </si>
  <si>
    <t>CTYLA0062</t>
  </si>
  <si>
    <t>KYF00045_A62</t>
  </si>
  <si>
    <t>CTYLA0063</t>
  </si>
  <si>
    <t>KYF00046_A63</t>
  </si>
  <si>
    <t>CTYLA0064</t>
  </si>
  <si>
    <t>KYF00048_A64</t>
  </si>
  <si>
    <t>CTYLC0116</t>
    <phoneticPr fontId="4" type="noConversion"/>
  </si>
  <si>
    <t>KYF00051_C116</t>
  </si>
  <si>
    <t>CTYLB0021</t>
    <phoneticPr fontId="4" type="noConversion"/>
  </si>
  <si>
    <t>KYF00052_B21</t>
    <phoneticPr fontId="4" type="noConversion"/>
  </si>
  <si>
    <t>CTYLA0065</t>
  </si>
  <si>
    <t>KYF00053_A65</t>
  </si>
  <si>
    <t>CTYLA0066</t>
  </si>
  <si>
    <t>KYF00054_A66</t>
  </si>
  <si>
    <t>CTYLB0022</t>
  </si>
  <si>
    <t>KYF00055_B22</t>
  </si>
  <si>
    <t>CTYLA0067</t>
  </si>
  <si>
    <t>KYF00056_A67</t>
    <phoneticPr fontId="4" type="noConversion"/>
  </si>
  <si>
    <t>CTYLA0068</t>
  </si>
  <si>
    <t>KYF00057_A68</t>
  </si>
  <si>
    <t>CTYLA0069</t>
  </si>
  <si>
    <t>KYF00059_A69</t>
  </si>
  <si>
    <t>CTYLB0023</t>
  </si>
  <si>
    <t>KYF00058_B23</t>
  </si>
  <si>
    <t>CTYLA0070</t>
  </si>
  <si>
    <t>KYF00060_A70</t>
  </si>
  <si>
    <t>CTYLC0117</t>
  </si>
  <si>
    <t>KYF00061_C117</t>
    <phoneticPr fontId="4" type="noConversion"/>
  </si>
  <si>
    <t>CTYLC0118</t>
  </si>
  <si>
    <t>KYF00062_C118</t>
  </si>
  <si>
    <t>CTYLA0071</t>
  </si>
  <si>
    <t>KYF00063_A71</t>
    <phoneticPr fontId="4" type="noConversion"/>
  </si>
  <si>
    <t>CTYLA0072</t>
  </si>
  <si>
    <t>KYF00064_A72</t>
  </si>
  <si>
    <t>CTYLA0073</t>
  </si>
  <si>
    <t>KYF00065_A73</t>
  </si>
  <si>
    <t>CTYLA0074</t>
  </si>
  <si>
    <t>KYF00068_A74</t>
  </si>
  <si>
    <t>CTYLA0075</t>
  </si>
  <si>
    <t>KYF00069_A75</t>
  </si>
  <si>
    <t>CTYLA0076</t>
  </si>
  <si>
    <t>KYF00071_A76</t>
  </si>
  <si>
    <t>CTYLB0024</t>
    <phoneticPr fontId="4" type="noConversion"/>
  </si>
  <si>
    <t>KYF00066_B24</t>
  </si>
  <si>
    <t>CTYLC0119</t>
    <phoneticPr fontId="4" type="noConversion"/>
  </si>
  <si>
    <t>KYF00070_C119</t>
  </si>
  <si>
    <t>CTYLA0077</t>
  </si>
  <si>
    <t>KYF00072_A77</t>
  </si>
  <si>
    <t>CTYLA0078</t>
  </si>
  <si>
    <t>KYF00074_A78</t>
  </si>
  <si>
    <t>CTYLC0120</t>
  </si>
  <si>
    <t>KYF00073_C120</t>
  </si>
  <si>
    <t>CTYLC0121</t>
  </si>
  <si>
    <t>KYF00075_C121</t>
  </si>
  <si>
    <t>CTYLC0122</t>
  </si>
  <si>
    <t>KYF00076_C122</t>
  </si>
  <si>
    <t>CTYLA0079</t>
  </si>
  <si>
    <t>KYF00077_A79</t>
  </si>
  <si>
    <t>CTYLA0080</t>
  </si>
  <si>
    <t>KYF00078_A80</t>
  </si>
  <si>
    <t>CTYLC0123</t>
    <phoneticPr fontId="4" type="noConversion"/>
  </si>
  <si>
    <t>KYF00079_C123</t>
  </si>
  <si>
    <t>CTYLC0124</t>
  </si>
  <si>
    <t>KYF00080_C124</t>
  </si>
  <si>
    <t>CTYLA0081</t>
  </si>
  <si>
    <t>KYF00081_A81</t>
  </si>
  <si>
    <t>CTYLB0025</t>
    <phoneticPr fontId="4" type="noConversion"/>
  </si>
  <si>
    <t>KYF00082_B25</t>
  </si>
  <si>
    <t>CTYLA0082</t>
  </si>
  <si>
    <t>KYF00083_A82</t>
  </si>
  <si>
    <t>CTYLA0083</t>
  </si>
  <si>
    <t>KYF00085_A83</t>
  </si>
  <si>
    <t>CTYLC0125</t>
  </si>
  <si>
    <t>KYF00086_C125</t>
  </si>
  <si>
    <t>CTYLC0126</t>
  </si>
  <si>
    <t>KYF00087_C126</t>
  </si>
  <si>
    <t>CTYLA0084</t>
  </si>
  <si>
    <t>KYF00088_A84</t>
  </si>
  <si>
    <t>CTYLA0085</t>
  </si>
  <si>
    <t>KYF00089_A85</t>
  </si>
  <si>
    <t>CTYLB0026</t>
  </si>
  <si>
    <t>KYF00090_B26</t>
  </si>
  <si>
    <t>CTYLB0027</t>
  </si>
  <si>
    <t>KYF00091_B27</t>
  </si>
  <si>
    <t>CTYLA0086</t>
  </si>
  <si>
    <t>KYF00092_A86</t>
  </si>
  <si>
    <t>CTYLC0127</t>
    <phoneticPr fontId="4" type="noConversion"/>
  </si>
  <si>
    <t>KYF00093_C127</t>
  </si>
  <si>
    <t>CTYLA0087</t>
  </si>
  <si>
    <t>KYF00094_A87</t>
  </si>
  <si>
    <t>CTYLA0088</t>
  </si>
  <si>
    <t>KYF00095_A88</t>
  </si>
  <si>
    <t>CTYLA0089</t>
  </si>
  <si>
    <t>KYF00096_A89</t>
  </si>
  <si>
    <t>CTYLC0128</t>
  </si>
  <si>
    <t>KYF00097_C128</t>
    <phoneticPr fontId="4" type="noConversion"/>
  </si>
  <si>
    <t>CTYLC0129</t>
  </si>
  <si>
    <t>KYF00098_C129</t>
  </si>
  <si>
    <t>CTYLC0130</t>
  </si>
  <si>
    <t>KYF00099_C130</t>
  </si>
  <si>
    <t>CTYLB0028</t>
  </si>
  <si>
    <t>KYF00100_B28</t>
  </si>
  <si>
    <t>CTYLB0029</t>
  </si>
  <si>
    <t>KYF00103_B29</t>
  </si>
  <si>
    <t>CTYLA0090</t>
  </si>
  <si>
    <t>KYF00104_A90</t>
  </si>
  <si>
    <t>CTYLC0131</t>
  </si>
  <si>
    <t>KYF00105_C131</t>
  </si>
  <si>
    <t>CTYLC0132</t>
  </si>
  <si>
    <t>KYF00107_C132</t>
  </si>
  <si>
    <t>CTYLC0133</t>
  </si>
  <si>
    <t>KYF00108_C133</t>
    <phoneticPr fontId="4" type="noConversion"/>
  </si>
  <si>
    <t>CTYLC0134</t>
  </si>
  <si>
    <t>KYF00110_C134</t>
  </si>
  <si>
    <t>CTYLA0091</t>
  </si>
  <si>
    <t>KYF00109_A91</t>
  </si>
  <si>
    <t>CTYLA0092</t>
  </si>
  <si>
    <t>KYF00111_A92</t>
  </si>
  <si>
    <t>CTYLC0135</t>
  </si>
  <si>
    <t>KYF00112_C135</t>
  </si>
  <si>
    <t>CTYLC0136</t>
  </si>
  <si>
    <t>KYF00113_C136</t>
  </si>
  <si>
    <t>CTYLC0137</t>
  </si>
  <si>
    <t>KYF00114_C137</t>
  </si>
  <si>
    <t>CTYLC0138</t>
  </si>
  <si>
    <t>KYF00115_C138</t>
  </si>
  <si>
    <t>CTYLA0093</t>
  </si>
  <si>
    <t>KYF00116_A93</t>
  </si>
  <si>
    <t>CTYLA0094</t>
  </si>
  <si>
    <t>KYF00117_A94</t>
  </si>
  <si>
    <t>CTYLA0095</t>
  </si>
  <si>
    <t>KYF00119_A95</t>
  </si>
  <si>
    <t>CTYLA0096</t>
  </si>
  <si>
    <t>KYF00120_A96</t>
  </si>
  <si>
    <t>CTYLC0139</t>
  </si>
  <si>
    <t>KYF00121_C139</t>
  </si>
  <si>
    <t>CTYLC0140</t>
  </si>
  <si>
    <t>KYF00122_C140</t>
  </si>
  <si>
    <t>CTYLC0141</t>
  </si>
  <si>
    <t>KYF00123_C141</t>
  </si>
  <si>
    <t>CTYLC0142</t>
  </si>
  <si>
    <t>KYF00124_C142</t>
  </si>
  <si>
    <t>CTYLC0144</t>
  </si>
  <si>
    <t>KYF00127_C144</t>
  </si>
  <si>
    <t>CTYLA0097</t>
  </si>
  <si>
    <t>KYF00128_A97</t>
  </si>
  <si>
    <t>CTYLA0098</t>
  </si>
  <si>
    <t>KYF00129_A98</t>
  </si>
  <si>
    <t>CTYLA0099</t>
  </si>
  <si>
    <t>KYF00130_A99</t>
  </si>
  <si>
    <t>CTYLA0100</t>
  </si>
  <si>
    <t>KYF00134_A100</t>
  </si>
  <si>
    <t>CTYLC0145</t>
    <phoneticPr fontId="4" type="noConversion"/>
  </si>
  <si>
    <t>KYF00131_C145</t>
  </si>
  <si>
    <t>CTYLC0146</t>
  </si>
  <si>
    <t>KYF00132_C146</t>
    <phoneticPr fontId="4" type="noConversion"/>
  </si>
  <si>
    <t>CTYLC0147</t>
  </si>
  <si>
    <t>KYF00133_C147</t>
  </si>
  <si>
    <t>CTYLC0148</t>
  </si>
  <si>
    <t>KYF00136_C148</t>
  </si>
  <si>
    <t>CTYLC0149</t>
  </si>
  <si>
    <t>KYF00137_C149</t>
  </si>
  <si>
    <t>CTYLC0150</t>
  </si>
  <si>
    <t>KYF00138_C150</t>
  </si>
  <si>
    <t>CTYLC0151</t>
  </si>
  <si>
    <t>KYF00143_C151</t>
  </si>
  <si>
    <t>CTYLC0152</t>
  </si>
  <si>
    <t>KYF00144_C152</t>
  </si>
  <si>
    <t>CTYLA0101</t>
    <phoneticPr fontId="4" type="noConversion"/>
  </si>
  <si>
    <t>KYF00139_A101</t>
  </si>
  <si>
    <t>CTYLA0102</t>
  </si>
  <si>
    <t>KYF00141_A102</t>
  </si>
  <si>
    <t>CTYLA0103</t>
  </si>
  <si>
    <t>KYF00145_A103</t>
  </si>
  <si>
    <t>CTYLA0104</t>
  </si>
  <si>
    <t>KYF00146_A104</t>
  </si>
  <si>
    <t>CTYLA0105</t>
  </si>
  <si>
    <t>KYF00147_A105</t>
  </si>
  <si>
    <t>CTYLB0030</t>
  </si>
  <si>
    <t>KYF00142_B30</t>
    <phoneticPr fontId="4" type="noConversion"/>
  </si>
  <si>
    <t>CTYLA0106</t>
    <phoneticPr fontId="4" type="noConversion"/>
  </si>
  <si>
    <t>KYF00148_A106</t>
  </si>
  <si>
    <t>CTYLA0107</t>
  </si>
  <si>
    <t>KYF00150_A107</t>
    <phoneticPr fontId="4" type="noConversion"/>
  </si>
  <si>
    <t>CTYLA0108</t>
  </si>
  <si>
    <t>KYF00151_A108</t>
  </si>
  <si>
    <t>CTYLB0031</t>
    <phoneticPr fontId="4" type="noConversion"/>
  </si>
  <si>
    <t>KYF00153_B31</t>
  </si>
  <si>
    <t>CTYLC0153</t>
    <phoneticPr fontId="4" type="noConversion"/>
  </si>
  <si>
    <t>KYF00154_C153</t>
  </si>
  <si>
    <t>CTYLB0032</t>
    <phoneticPr fontId="4" type="noConversion"/>
  </si>
  <si>
    <t>KYF00155_B32</t>
  </si>
  <si>
    <t>CTYLA0109</t>
    <phoneticPr fontId="4" type="noConversion"/>
  </si>
  <si>
    <t>KYF00157_A109</t>
  </si>
  <si>
    <t>CTYLA0110</t>
  </si>
  <si>
    <t>KYF00158_A110</t>
  </si>
  <si>
    <t>CTYLA0111</t>
  </si>
  <si>
    <t>KYF00159_A111</t>
  </si>
  <si>
    <t>CTYLA0112</t>
  </si>
  <si>
    <t>KYF00161_A112</t>
  </si>
  <si>
    <t>CTYLA0113</t>
  </si>
  <si>
    <t>KYF00162_A113</t>
  </si>
  <si>
    <t>CTYLA0114</t>
  </si>
  <si>
    <t>KYF00163_A114</t>
    <phoneticPr fontId="4" type="noConversion"/>
  </si>
  <si>
    <t>CTYLA0115</t>
  </si>
  <si>
    <t>KYF00164_A115</t>
  </si>
  <si>
    <t>CTYLB0033</t>
  </si>
  <si>
    <t>KYF00165_B33</t>
  </si>
  <si>
    <t>CTYLA0116</t>
    <phoneticPr fontId="4" type="noConversion"/>
  </si>
  <si>
    <t>KYF00167_A116</t>
  </si>
  <si>
    <t>CTYLA0117</t>
  </si>
  <si>
    <t>KYF00168_A117</t>
  </si>
  <si>
    <t>CTYLA0118</t>
  </si>
  <si>
    <t>KYF00169_A118</t>
  </si>
  <si>
    <t>CTYLA0119</t>
  </si>
  <si>
    <t>KYF00170_A119</t>
  </si>
  <si>
    <t>CTYLB0034</t>
  </si>
  <si>
    <t>KYF00173_B34</t>
  </si>
  <si>
    <t>CTYLB0035</t>
  </si>
  <si>
    <t>KYF00174_B35</t>
  </si>
  <si>
    <t>CTYLA0120</t>
  </si>
  <si>
    <t>KYF00175_A120</t>
    <phoneticPr fontId="4" type="noConversion"/>
  </si>
  <si>
    <t>CTYLA0121</t>
  </si>
  <si>
    <t>KYF00176_A121</t>
    <phoneticPr fontId="4" type="noConversion"/>
  </si>
  <si>
    <t>CTYLB0036</t>
  </si>
  <si>
    <t>KYF00177_B36</t>
    <phoneticPr fontId="4" type="noConversion"/>
  </si>
  <si>
    <t>CTYLA0122</t>
    <phoneticPr fontId="4" type="noConversion"/>
  </si>
  <si>
    <t>KYF00178_A122</t>
    <phoneticPr fontId="4" type="noConversion"/>
  </si>
  <si>
    <t>CTYLA0123</t>
  </si>
  <si>
    <t>KYF00179_A123</t>
  </si>
  <si>
    <t>CTYLA0124</t>
  </si>
  <si>
    <t>KYF00180_A124</t>
  </si>
  <si>
    <t>CTYLB0037</t>
  </si>
  <si>
    <t>KYF00181_B37</t>
  </si>
  <si>
    <t>CTYLB0038</t>
  </si>
  <si>
    <t>KYF00182_B38</t>
  </si>
  <si>
    <t>CTYLA0125</t>
    <phoneticPr fontId="4" type="noConversion"/>
  </si>
  <si>
    <t>KYF00183_A125</t>
  </si>
  <si>
    <t>CTYLA0126</t>
  </si>
  <si>
    <t>KYF00184_A126</t>
  </si>
  <si>
    <t>CTYLA0127</t>
  </si>
  <si>
    <t>KYF00185_A127</t>
  </si>
  <si>
    <t>CTYLA0128</t>
  </si>
  <si>
    <t>KYF00186_A128</t>
  </si>
  <si>
    <t>CTYLB0039</t>
  </si>
  <si>
    <t>KYF00187_B39</t>
    <phoneticPr fontId="4" type="noConversion"/>
  </si>
  <si>
    <t>CTYLA0129</t>
    <phoneticPr fontId="4" type="noConversion"/>
  </si>
  <si>
    <t>KYF00188_A129</t>
    <phoneticPr fontId="4" type="noConversion"/>
  </si>
  <si>
    <t>CTYLB0040</t>
    <phoneticPr fontId="4" type="noConversion"/>
  </si>
  <si>
    <t>KYF00191_B40</t>
    <phoneticPr fontId="4" type="noConversion"/>
  </si>
  <si>
    <t>CTYLA0130</t>
    <phoneticPr fontId="4" type="noConversion"/>
  </si>
  <si>
    <t>KYF00192_A130</t>
    <phoneticPr fontId="4" type="noConversion"/>
  </si>
  <si>
    <t>CTYLA0131</t>
  </si>
  <si>
    <t>KYF00193_A131</t>
  </si>
  <si>
    <t>CTYLB0041</t>
    <phoneticPr fontId="4" type="noConversion"/>
  </si>
  <si>
    <t>KYF00196_B41</t>
  </si>
  <si>
    <t>CTYLA0132</t>
  </si>
  <si>
    <t>KYF00197_A132</t>
  </si>
  <si>
    <t>CTYLB0042</t>
    <phoneticPr fontId="4" type="noConversion"/>
  </si>
  <si>
    <t>KYF00198_B42</t>
    <phoneticPr fontId="4" type="noConversion"/>
  </si>
  <si>
    <t>CTYLB0043</t>
  </si>
  <si>
    <t>KYF00199_B43</t>
  </si>
  <si>
    <t>CTYLC0154</t>
    <phoneticPr fontId="4" type="noConversion"/>
  </si>
  <si>
    <t>KYF00297</t>
  </si>
  <si>
    <t>CTYLC0155</t>
  </si>
  <si>
    <t>KYF00298</t>
  </si>
  <si>
    <t>CTYLC0156</t>
  </si>
  <si>
    <t>KYF00299</t>
  </si>
  <si>
    <t>CTYLC0157</t>
  </si>
  <si>
    <t>KYF00301</t>
  </si>
  <si>
    <t>CTYLC0158</t>
  </si>
  <si>
    <t>KYF00302</t>
  </si>
  <si>
    <t>CTYLC0159</t>
  </si>
  <si>
    <t>KYF00304</t>
  </si>
  <si>
    <t>CTYLC0160</t>
  </si>
  <si>
    <t>KYF00004</t>
    <phoneticPr fontId="4" type="noConversion"/>
  </si>
  <si>
    <t>CTYLC0161</t>
  </si>
  <si>
    <t>KYF00006</t>
  </si>
  <si>
    <t>CTYLC0162</t>
  </si>
  <si>
    <t>KYF00007</t>
  </si>
  <si>
    <t>CTYLA0133</t>
    <phoneticPr fontId="4" type="noConversion"/>
  </si>
  <si>
    <t>KYF00200_A133</t>
    <phoneticPr fontId="4" type="noConversion"/>
  </si>
  <si>
    <t>CTYLA0134</t>
  </si>
  <si>
    <t>KYF00201_A134</t>
    <phoneticPr fontId="4" type="noConversion"/>
  </si>
  <si>
    <t>CTYLB0044</t>
    <phoneticPr fontId="4" type="noConversion"/>
  </si>
  <si>
    <t>KYF00202_B44</t>
    <phoneticPr fontId="4" type="noConversion"/>
  </si>
  <si>
    <t>CTYLA0135</t>
    <phoneticPr fontId="4" type="noConversion"/>
  </si>
  <si>
    <t>KYF00203_A135</t>
    <phoneticPr fontId="4" type="noConversion"/>
  </si>
  <si>
    <t>CTYLC0163</t>
    <phoneticPr fontId="4" type="noConversion"/>
  </si>
  <si>
    <t>KYF00204_C163</t>
  </si>
  <si>
    <t>CTYLA0136</t>
    <phoneticPr fontId="4" type="noConversion"/>
  </si>
  <si>
    <t>KYF00205_A136</t>
  </si>
  <si>
    <t>CTYLB0045</t>
    <phoneticPr fontId="4" type="noConversion"/>
  </si>
  <si>
    <t>KYF00207_B45</t>
    <phoneticPr fontId="4" type="noConversion"/>
  </si>
  <si>
    <t>CTYLA0137</t>
    <phoneticPr fontId="4" type="noConversion"/>
  </si>
  <si>
    <t>KYF00208_A137</t>
  </si>
  <si>
    <t>CTYLB0046</t>
    <phoneticPr fontId="4" type="noConversion"/>
  </si>
  <si>
    <t>KYF00209_B46</t>
  </si>
  <si>
    <t>CTYLB0047</t>
  </si>
  <si>
    <t>KYF00210_B47</t>
  </si>
  <si>
    <t>CTYLC0164</t>
    <phoneticPr fontId="4" type="noConversion"/>
  </si>
  <si>
    <t>KYF00211_C164</t>
    <phoneticPr fontId="4" type="noConversion"/>
  </si>
  <si>
    <t>CTYLB0048</t>
    <phoneticPr fontId="4" type="noConversion"/>
  </si>
  <si>
    <t>KYF00212_B48</t>
  </si>
  <si>
    <t>CTYLA0138</t>
  </si>
  <si>
    <t>KYF00213_A138</t>
  </si>
  <si>
    <t>CTYLC0165</t>
  </si>
  <si>
    <t>KYF00214_C165</t>
  </si>
  <si>
    <t>CTYLA0139</t>
    <phoneticPr fontId="4" type="noConversion"/>
  </si>
  <si>
    <t>KYF00215_A139</t>
  </si>
  <si>
    <t>CTYLA0140</t>
  </si>
  <si>
    <t>KYF00216_A140</t>
  </si>
  <si>
    <t>CTYLC0166</t>
    <phoneticPr fontId="4" type="noConversion"/>
  </si>
  <si>
    <t>KYF00217_C166</t>
  </si>
  <si>
    <t>CTYLB0049</t>
  </si>
  <si>
    <t>KYF00218_B49</t>
    <phoneticPr fontId="4" type="noConversion"/>
  </si>
  <si>
    <t>CTYLC0167</t>
  </si>
  <si>
    <t>KYF00219_C167</t>
  </si>
  <si>
    <t>CTYLB0050</t>
    <phoneticPr fontId="4" type="noConversion"/>
  </si>
  <si>
    <t>KYF00220_B50</t>
  </si>
  <si>
    <t>CTYLA00141</t>
    <phoneticPr fontId="4" type="noConversion"/>
  </si>
  <si>
    <t>KYF00222_A141</t>
    <phoneticPr fontId="4" type="noConversion"/>
  </si>
  <si>
    <t>CTYLB0051</t>
  </si>
  <si>
    <t>KYF00224_B51</t>
  </si>
  <si>
    <t>CTYLA00142</t>
  </si>
  <si>
    <t>KYF00225_A142</t>
  </si>
  <si>
    <t>CTYLB0052</t>
  </si>
  <si>
    <t>KYF00226_B52</t>
  </si>
  <si>
    <t>CTYLB0053</t>
    <phoneticPr fontId="4" type="noConversion"/>
  </si>
  <si>
    <t>KYF00228_B53</t>
    <phoneticPr fontId="4" type="noConversion"/>
  </si>
  <si>
    <t>CTYLB0054</t>
    <phoneticPr fontId="4" type="noConversion"/>
  </si>
  <si>
    <t>KYF00233_B54</t>
    <phoneticPr fontId="4" type="noConversion"/>
  </si>
  <si>
    <t>CTYLB0055</t>
  </si>
  <si>
    <t>KYF00235_B55</t>
    <phoneticPr fontId="4" type="noConversion"/>
  </si>
  <si>
    <t>CTYLB0056</t>
    <phoneticPr fontId="4" type="noConversion"/>
  </si>
  <si>
    <t>KYF00243_B56</t>
  </si>
  <si>
    <t>CTYLB0057</t>
    <phoneticPr fontId="4" type="noConversion"/>
  </si>
  <si>
    <t>KYF00251_B57</t>
  </si>
  <si>
    <t>Sex</t>
    <phoneticPr fontId="1" type="noConversion"/>
  </si>
  <si>
    <t>Age</t>
    <phoneticPr fontId="1" type="noConversion"/>
  </si>
  <si>
    <t>BMI</t>
    <phoneticPr fontId="1" type="noConversion"/>
  </si>
  <si>
    <t>SDNN</t>
    <phoneticPr fontId="4" type="noConversion"/>
  </si>
  <si>
    <t>LF</t>
    <phoneticPr fontId="4" type="noConversion"/>
  </si>
  <si>
    <t>HF</t>
    <phoneticPr fontId="4" type="noConversion"/>
  </si>
  <si>
    <t>LFHF</t>
    <phoneticPr fontId="4" type="noConversion"/>
  </si>
  <si>
    <t>Health</t>
  </si>
  <si>
    <t>MEANH</t>
  </si>
  <si>
    <t>NLF</t>
  </si>
  <si>
    <t>TP</t>
  </si>
  <si>
    <t>VLF</t>
  </si>
  <si>
    <t>Data1</t>
    <phoneticPr fontId="1" type="noConversion"/>
  </si>
  <si>
    <t>Data2</t>
    <phoneticPr fontId="1" type="noConversion"/>
  </si>
  <si>
    <t>total</t>
    <phoneticPr fontId="1" type="noConversion"/>
  </si>
  <si>
    <t>MEANH</t>
    <phoneticPr fontId="4" type="noConversion"/>
  </si>
  <si>
    <t>TP</t>
    <phoneticPr fontId="4" type="noConversion"/>
  </si>
  <si>
    <t>VLF</t>
    <phoneticPr fontId="4" type="noConversion"/>
  </si>
  <si>
    <t>NLF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</si>
</sst>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1"/>
      <charset val="136"/>
    </font>
    <font>
      <sz val="12"/>
      <name val="Noto Sans CJK TC Bold"/>
      <family val="2"/>
      <charset val="128"/>
    </font>
    <font>
      <sz val="9"/>
      <name val="新細明體"/>
      <family val="1"/>
      <charset val="136"/>
    </font>
    <font>
      <sz val="12"/>
      <color rgb="FF000000"/>
      <name val="Noto Sans CJK TC Bold"/>
      <family val="2"/>
      <charset val="128"/>
    </font>
    <font>
      <sz val="12"/>
      <color rgb="FFFF0000"/>
      <name val="Noto Sans CJK TC Bold"/>
      <family val="2"/>
      <charset val="128"/>
    </font>
    <font>
      <b/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8" fillId="0" borderId="4" xfId="0" applyFont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3"/>
  <sheetViews>
    <sheetView workbookViewId="0">
      <selection activeCell="K1" sqref="I1:K1"/>
    </sheetView>
  </sheetViews>
  <sheetFormatPr defaultRowHeight="15.75"/>
  <sheetData>
    <row r="1" spans="1:18">
      <c r="A1" t="s">
        <v>0</v>
      </c>
      <c r="B1" t="s">
        <v>1</v>
      </c>
      <c r="C1" t="s">
        <v>2</v>
      </c>
      <c r="D1" s="9" t="s">
        <v>22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A2">
        <v>45</v>
      </c>
      <c r="B2">
        <v>0</v>
      </c>
      <c r="C2">
        <v>21.359306</v>
      </c>
      <c r="D2">
        <v>0</v>
      </c>
      <c r="E2">
        <v>1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55.16</v>
      </c>
      <c r="M2">
        <v>90.04</v>
      </c>
      <c r="N2">
        <v>132.76</v>
      </c>
      <c r="O2">
        <v>0.68</v>
      </c>
      <c r="P2">
        <v>0.21</v>
      </c>
      <c r="Q2">
        <v>25.9</v>
      </c>
      <c r="R2">
        <v>7.86</v>
      </c>
    </row>
    <row r="3" spans="1:18">
      <c r="A3">
        <v>42</v>
      </c>
      <c r="B3">
        <v>0</v>
      </c>
      <c r="C3">
        <v>26.171875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15.4</v>
      </c>
      <c r="M3">
        <v>6.4</v>
      </c>
      <c r="N3">
        <v>2.9</v>
      </c>
      <c r="O3">
        <v>2.21</v>
      </c>
      <c r="P3">
        <v>0.99</v>
      </c>
      <c r="Q3">
        <v>34.26</v>
      </c>
      <c r="R3">
        <v>2.27</v>
      </c>
    </row>
    <row r="4" spans="1:18">
      <c r="A4">
        <v>29</v>
      </c>
      <c r="B4">
        <v>0</v>
      </c>
      <c r="C4">
        <v>30.48338</v>
      </c>
      <c r="D4">
        <v>0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62.88</v>
      </c>
      <c r="M4">
        <v>128.44</v>
      </c>
      <c r="N4">
        <v>196.7</v>
      </c>
      <c r="O4">
        <v>0.65</v>
      </c>
      <c r="P4">
        <v>0.56999999999999995</v>
      </c>
      <c r="Q4">
        <v>33.6</v>
      </c>
      <c r="R4">
        <v>7.87</v>
      </c>
    </row>
    <row r="5" spans="1:18">
      <c r="A5">
        <v>22</v>
      </c>
      <c r="B5">
        <v>1</v>
      </c>
      <c r="C5">
        <v>28.405504000000001</v>
      </c>
      <c r="D5">
        <v>0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  <c r="K5">
        <v>1</v>
      </c>
      <c r="L5">
        <v>19.98</v>
      </c>
      <c r="M5">
        <v>24.88</v>
      </c>
      <c r="N5">
        <v>14.16</v>
      </c>
      <c r="O5">
        <v>1.76</v>
      </c>
      <c r="P5">
        <v>0.17</v>
      </c>
      <c r="Q5">
        <v>34.270000000000003</v>
      </c>
      <c r="R5">
        <v>3.82</v>
      </c>
    </row>
    <row r="6" spans="1:18">
      <c r="A6">
        <v>29</v>
      </c>
      <c r="B6">
        <v>0</v>
      </c>
      <c r="C6">
        <v>20.957170000000001</v>
      </c>
      <c r="D6">
        <v>0</v>
      </c>
      <c r="E6">
        <v>1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12.34</v>
      </c>
      <c r="M6">
        <v>4.67</v>
      </c>
      <c r="N6">
        <v>2.93</v>
      </c>
      <c r="O6">
        <v>1.59</v>
      </c>
      <c r="P6">
        <v>0.61</v>
      </c>
      <c r="Q6">
        <v>34.56</v>
      </c>
      <c r="R6">
        <v>3.83</v>
      </c>
    </row>
    <row r="7" spans="1:18">
      <c r="A7">
        <v>31</v>
      </c>
      <c r="B7">
        <v>0</v>
      </c>
      <c r="C7">
        <v>18.10614</v>
      </c>
      <c r="D7">
        <v>0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112.97</v>
      </c>
      <c r="M7">
        <v>529.23</v>
      </c>
      <c r="N7">
        <v>495.21</v>
      </c>
      <c r="O7">
        <v>1.07</v>
      </c>
      <c r="P7">
        <v>0.16</v>
      </c>
      <c r="Q7">
        <v>26.46</v>
      </c>
      <c r="R7">
        <v>13.52</v>
      </c>
    </row>
    <row r="8" spans="1:18">
      <c r="A8">
        <v>41</v>
      </c>
      <c r="B8">
        <v>0</v>
      </c>
      <c r="C8">
        <v>20.446740999999999</v>
      </c>
      <c r="D8">
        <v>0</v>
      </c>
      <c r="E8">
        <v>1</v>
      </c>
      <c r="F8">
        <v>1</v>
      </c>
      <c r="G8">
        <v>0</v>
      </c>
      <c r="H8">
        <v>1</v>
      </c>
      <c r="I8">
        <v>0</v>
      </c>
      <c r="J8">
        <v>0</v>
      </c>
      <c r="K8">
        <v>0</v>
      </c>
      <c r="L8">
        <v>37.93</v>
      </c>
      <c r="M8">
        <v>42.63</v>
      </c>
      <c r="N8">
        <v>93.94</v>
      </c>
      <c r="O8">
        <v>0.45</v>
      </c>
      <c r="P8">
        <v>0.2</v>
      </c>
      <c r="Q8">
        <v>27.1</v>
      </c>
      <c r="R8">
        <v>5.12</v>
      </c>
    </row>
    <row r="9" spans="1:18">
      <c r="A9">
        <v>52</v>
      </c>
      <c r="B9">
        <v>1</v>
      </c>
      <c r="C9">
        <v>20.549886999999998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31.02</v>
      </c>
      <c r="M9">
        <v>33.72</v>
      </c>
      <c r="N9">
        <v>9.76</v>
      </c>
      <c r="O9">
        <v>3.46</v>
      </c>
      <c r="P9">
        <v>0.2</v>
      </c>
      <c r="Q9">
        <v>32.450000000000003</v>
      </c>
      <c r="R9">
        <v>4.6500000000000004</v>
      </c>
    </row>
    <row r="10" spans="1:18">
      <c r="A10">
        <v>27</v>
      </c>
      <c r="B10">
        <v>1</v>
      </c>
      <c r="C10">
        <v>19.753086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26.03</v>
      </c>
      <c r="M10">
        <v>48.13</v>
      </c>
      <c r="N10">
        <v>34.65</v>
      </c>
      <c r="O10">
        <v>1.39</v>
      </c>
      <c r="P10">
        <v>0.16</v>
      </c>
      <c r="Q10">
        <v>26.21</v>
      </c>
      <c r="R10">
        <v>6.76</v>
      </c>
    </row>
    <row r="11" spans="1:18">
      <c r="A11">
        <v>44</v>
      </c>
      <c r="B11">
        <v>1</v>
      </c>
      <c r="C11">
        <v>31.377988999999999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83.54</v>
      </c>
      <c r="M11">
        <v>164.35</v>
      </c>
      <c r="N11">
        <v>443.7</v>
      </c>
      <c r="O11">
        <v>0.37</v>
      </c>
      <c r="P11">
        <v>0.9</v>
      </c>
      <c r="Q11">
        <v>32.86</v>
      </c>
      <c r="R11">
        <v>8.33</v>
      </c>
    </row>
    <row r="12" spans="1:18">
      <c r="A12">
        <v>52</v>
      </c>
      <c r="B12">
        <v>0</v>
      </c>
      <c r="C12">
        <v>24.863952999999999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46.41</v>
      </c>
      <c r="M12">
        <v>112.44</v>
      </c>
      <c r="N12">
        <v>102.32</v>
      </c>
      <c r="O12">
        <v>1.1000000000000001</v>
      </c>
      <c r="P12">
        <v>0.16</v>
      </c>
      <c r="Q12">
        <v>33.11</v>
      </c>
      <c r="R12">
        <v>6.41</v>
      </c>
    </row>
    <row r="13" spans="1:18">
      <c r="A13">
        <v>61</v>
      </c>
      <c r="B13">
        <v>1</v>
      </c>
      <c r="C13">
        <v>20.545694000000001</v>
      </c>
      <c r="D13">
        <v>0</v>
      </c>
      <c r="E13">
        <v>1</v>
      </c>
      <c r="F13">
        <v>1</v>
      </c>
      <c r="G13">
        <v>0</v>
      </c>
      <c r="H13">
        <v>1</v>
      </c>
      <c r="I13">
        <v>1</v>
      </c>
      <c r="J13">
        <v>0</v>
      </c>
      <c r="K13">
        <v>0</v>
      </c>
      <c r="L13">
        <v>71.319999999999993</v>
      </c>
      <c r="M13">
        <v>42.87</v>
      </c>
      <c r="N13">
        <v>103.82</v>
      </c>
      <c r="O13">
        <v>0.41</v>
      </c>
      <c r="P13">
        <v>0.04</v>
      </c>
      <c r="Q13">
        <v>24.29</v>
      </c>
      <c r="R13">
        <v>12.51</v>
      </c>
    </row>
    <row r="14" spans="1:18">
      <c r="A14">
        <v>69</v>
      </c>
      <c r="B14">
        <v>0</v>
      </c>
      <c r="C14">
        <v>20.173252000000002</v>
      </c>
      <c r="D14">
        <v>0</v>
      </c>
      <c r="E14">
        <v>1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28.21</v>
      </c>
      <c r="M14">
        <v>13.09</v>
      </c>
      <c r="N14">
        <v>46.71</v>
      </c>
      <c r="O14">
        <v>0.28000000000000003</v>
      </c>
      <c r="P14">
        <v>0.11</v>
      </c>
      <c r="Q14">
        <v>30.8</v>
      </c>
      <c r="R14">
        <v>4.79</v>
      </c>
    </row>
    <row r="15" spans="1:18">
      <c r="A15">
        <v>63</v>
      </c>
      <c r="B15">
        <v>0</v>
      </c>
      <c r="C15">
        <v>21.411211000000002</v>
      </c>
      <c r="D15">
        <v>0</v>
      </c>
      <c r="E15">
        <v>1</v>
      </c>
      <c r="F15">
        <v>0</v>
      </c>
      <c r="G15">
        <v>1</v>
      </c>
      <c r="H15">
        <v>1</v>
      </c>
      <c r="I15">
        <v>0</v>
      </c>
      <c r="J15">
        <v>0</v>
      </c>
      <c r="K15">
        <v>0</v>
      </c>
      <c r="L15">
        <v>23.55</v>
      </c>
      <c r="M15">
        <v>12.64</v>
      </c>
      <c r="N15">
        <v>50.46</v>
      </c>
      <c r="O15">
        <v>0.25</v>
      </c>
      <c r="P15">
        <v>0.13</v>
      </c>
      <c r="Q15">
        <v>33.18</v>
      </c>
      <c r="R15">
        <v>3.64</v>
      </c>
    </row>
    <row r="16" spans="1:18">
      <c r="A16">
        <v>45</v>
      </c>
      <c r="B16">
        <v>0</v>
      </c>
      <c r="C16">
        <v>23.875114</v>
      </c>
      <c r="D16">
        <v>0</v>
      </c>
      <c r="E16">
        <v>1</v>
      </c>
      <c r="F16">
        <v>1</v>
      </c>
      <c r="G16">
        <v>0</v>
      </c>
      <c r="H16">
        <v>1</v>
      </c>
      <c r="I16">
        <v>0</v>
      </c>
      <c r="J16">
        <v>0</v>
      </c>
      <c r="K16">
        <v>0</v>
      </c>
      <c r="L16">
        <v>38.75</v>
      </c>
      <c r="M16">
        <v>66.37</v>
      </c>
      <c r="N16">
        <v>83.67</v>
      </c>
      <c r="O16">
        <v>0.79</v>
      </c>
      <c r="P16">
        <v>0.41</v>
      </c>
      <c r="Q16">
        <v>34.39</v>
      </c>
      <c r="R16">
        <v>7.28</v>
      </c>
    </row>
    <row r="17" spans="1:18">
      <c r="A17">
        <v>56</v>
      </c>
      <c r="B17">
        <v>0</v>
      </c>
      <c r="C17">
        <v>21.907582999999999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10.18</v>
      </c>
      <c r="M17">
        <v>5.19</v>
      </c>
      <c r="N17">
        <v>3.08</v>
      </c>
      <c r="O17">
        <v>1.68</v>
      </c>
      <c r="P17">
        <v>0.15</v>
      </c>
      <c r="Q17">
        <v>32.869999999999997</v>
      </c>
      <c r="R17">
        <v>2.12</v>
      </c>
    </row>
    <row r="18" spans="1:18">
      <c r="A18">
        <v>56</v>
      </c>
      <c r="B18">
        <v>0</v>
      </c>
      <c r="C18">
        <v>25.636917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32.54</v>
      </c>
      <c r="M18">
        <v>17.89</v>
      </c>
      <c r="N18">
        <v>61.83</v>
      </c>
      <c r="O18">
        <v>0.28999999999999998</v>
      </c>
      <c r="P18">
        <v>0.19</v>
      </c>
      <c r="Q18">
        <v>23.83</v>
      </c>
      <c r="R18">
        <v>2.65</v>
      </c>
    </row>
    <row r="19" spans="1:18">
      <c r="A19">
        <v>57</v>
      </c>
      <c r="B19">
        <v>0</v>
      </c>
      <c r="C19">
        <v>28.040379000000001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24.76</v>
      </c>
      <c r="M19">
        <v>18.55</v>
      </c>
      <c r="N19">
        <v>34.33</v>
      </c>
      <c r="O19">
        <v>0.54</v>
      </c>
      <c r="P19">
        <v>0.28000000000000003</v>
      </c>
      <c r="Q19">
        <v>29.79</v>
      </c>
      <c r="R19">
        <v>4.13</v>
      </c>
    </row>
    <row r="20" spans="1:18">
      <c r="A20">
        <v>68</v>
      </c>
      <c r="B20">
        <v>0</v>
      </c>
      <c r="C20">
        <v>22.600263999999999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91.84</v>
      </c>
      <c r="M20">
        <v>475.91</v>
      </c>
      <c r="N20">
        <v>627.91</v>
      </c>
      <c r="O20">
        <v>0.76</v>
      </c>
      <c r="P20">
        <v>0.38</v>
      </c>
      <c r="Q20">
        <v>32.25</v>
      </c>
      <c r="R20">
        <v>6.08</v>
      </c>
    </row>
    <row r="21" spans="1:18">
      <c r="A21">
        <v>40</v>
      </c>
      <c r="B21">
        <v>0</v>
      </c>
      <c r="C21">
        <v>19.140625</v>
      </c>
      <c r="D21">
        <v>0</v>
      </c>
      <c r="E21">
        <v>0</v>
      </c>
      <c r="F21">
        <v>1</v>
      </c>
      <c r="G21">
        <v>0</v>
      </c>
      <c r="H21">
        <v>1</v>
      </c>
      <c r="I21">
        <v>0</v>
      </c>
      <c r="J21">
        <v>0</v>
      </c>
      <c r="K21">
        <v>1</v>
      </c>
      <c r="L21">
        <v>22.2</v>
      </c>
      <c r="M21">
        <v>18.14</v>
      </c>
      <c r="N21">
        <v>22.31</v>
      </c>
      <c r="O21">
        <v>0.81</v>
      </c>
      <c r="P21">
        <v>0.09</v>
      </c>
      <c r="Q21">
        <v>27.22</v>
      </c>
      <c r="R21">
        <v>5.15</v>
      </c>
    </row>
    <row r="22" spans="1:18">
      <c r="A22">
        <v>39</v>
      </c>
      <c r="B22">
        <v>1</v>
      </c>
      <c r="C22">
        <v>23.30668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28.72</v>
      </c>
      <c r="M22">
        <v>47.06</v>
      </c>
      <c r="N22">
        <v>52.06</v>
      </c>
      <c r="O22">
        <v>0.9</v>
      </c>
      <c r="P22">
        <v>0.88</v>
      </c>
      <c r="Q22">
        <v>29.36</v>
      </c>
      <c r="R22">
        <v>4.5</v>
      </c>
    </row>
    <row r="23" spans="1:18">
      <c r="A23">
        <v>24</v>
      </c>
      <c r="B23">
        <v>1</v>
      </c>
      <c r="C23">
        <v>15.173038</v>
      </c>
      <c r="D23">
        <v>0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60.66</v>
      </c>
      <c r="M23">
        <v>122.81</v>
      </c>
      <c r="N23">
        <v>300.87</v>
      </c>
      <c r="O23">
        <v>0.41</v>
      </c>
      <c r="P23">
        <v>0.46</v>
      </c>
      <c r="Q23">
        <v>28.62</v>
      </c>
      <c r="R23">
        <v>14.98</v>
      </c>
    </row>
    <row r="24" spans="1:18">
      <c r="A24">
        <v>59</v>
      </c>
      <c r="B24">
        <v>0</v>
      </c>
      <c r="C24">
        <v>19.140625</v>
      </c>
      <c r="D24">
        <v>0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11.93</v>
      </c>
      <c r="M24">
        <v>7.14</v>
      </c>
      <c r="N24">
        <v>4.87</v>
      </c>
      <c r="O24">
        <v>1.47</v>
      </c>
      <c r="P24">
        <v>0.52</v>
      </c>
      <c r="Q24">
        <v>33.86</v>
      </c>
      <c r="R24">
        <v>2.2400000000000002</v>
      </c>
    </row>
    <row r="25" spans="1:18">
      <c r="A25">
        <v>30</v>
      </c>
      <c r="B25">
        <v>0</v>
      </c>
      <c r="C25">
        <v>26.729927</v>
      </c>
      <c r="D25">
        <v>0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38.44</v>
      </c>
      <c r="M25">
        <v>49.55</v>
      </c>
      <c r="N25">
        <v>92.93</v>
      </c>
      <c r="O25">
        <v>0.53</v>
      </c>
      <c r="P25">
        <v>0.3</v>
      </c>
      <c r="Q25">
        <v>33.5</v>
      </c>
      <c r="R25">
        <v>4.8099999999999996</v>
      </c>
    </row>
    <row r="26" spans="1:18">
      <c r="A26">
        <v>49</v>
      </c>
      <c r="B26">
        <v>0</v>
      </c>
      <c r="C26">
        <v>20.568805999999999</v>
      </c>
      <c r="D26">
        <v>0</v>
      </c>
      <c r="E26">
        <v>1</v>
      </c>
      <c r="F26">
        <v>0</v>
      </c>
      <c r="G26">
        <v>1</v>
      </c>
      <c r="H26">
        <v>1</v>
      </c>
      <c r="I26">
        <v>0</v>
      </c>
      <c r="J26">
        <v>0</v>
      </c>
      <c r="K26">
        <v>0</v>
      </c>
      <c r="L26">
        <v>53.44</v>
      </c>
      <c r="M26">
        <v>110.83</v>
      </c>
      <c r="N26">
        <v>190.82</v>
      </c>
      <c r="O26">
        <v>0.57999999999999996</v>
      </c>
      <c r="P26">
        <v>0.22</v>
      </c>
      <c r="Q26">
        <v>25.57</v>
      </c>
      <c r="R26">
        <v>6.67</v>
      </c>
    </row>
    <row r="27" spans="1:18">
      <c r="A27">
        <v>46</v>
      </c>
      <c r="B27">
        <v>0</v>
      </c>
      <c r="C27">
        <v>19.53125</v>
      </c>
      <c r="D27">
        <v>0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60</v>
      </c>
      <c r="M27">
        <v>37.44</v>
      </c>
      <c r="N27">
        <v>265.8</v>
      </c>
      <c r="O27">
        <v>0.14000000000000001</v>
      </c>
      <c r="P27">
        <v>0.28000000000000003</v>
      </c>
      <c r="Q27">
        <v>24.15</v>
      </c>
      <c r="R27">
        <v>9.5299999999999994</v>
      </c>
    </row>
    <row r="28" spans="1:18">
      <c r="A28">
        <v>52</v>
      </c>
      <c r="B28">
        <v>1</v>
      </c>
      <c r="C28">
        <v>17.578125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48.63</v>
      </c>
      <c r="M28">
        <v>71.97</v>
      </c>
      <c r="N28">
        <v>185</v>
      </c>
      <c r="O28">
        <v>0.39</v>
      </c>
      <c r="P28">
        <v>2.68</v>
      </c>
      <c r="Q28">
        <v>28.34</v>
      </c>
      <c r="R28">
        <v>6.74</v>
      </c>
    </row>
    <row r="29" spans="1:18">
      <c r="A29">
        <v>53</v>
      </c>
      <c r="B29">
        <v>0</v>
      </c>
      <c r="C29">
        <v>23.140495000000001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40.03</v>
      </c>
      <c r="M29">
        <v>148.93</v>
      </c>
      <c r="N29">
        <v>20.88</v>
      </c>
      <c r="O29">
        <v>7.13</v>
      </c>
      <c r="P29">
        <v>0.28999999999999998</v>
      </c>
      <c r="Q29">
        <v>30.41</v>
      </c>
      <c r="R29">
        <v>4.49</v>
      </c>
    </row>
    <row r="30" spans="1:18">
      <c r="A30">
        <v>21</v>
      </c>
      <c r="B30">
        <v>1</v>
      </c>
      <c r="C30">
        <v>20.452884999999998</v>
      </c>
      <c r="D30">
        <v>0</v>
      </c>
      <c r="E30">
        <v>1</v>
      </c>
      <c r="F30">
        <v>1</v>
      </c>
      <c r="G30">
        <v>0</v>
      </c>
      <c r="H30">
        <v>1</v>
      </c>
      <c r="I30">
        <v>0</v>
      </c>
      <c r="J30">
        <v>0</v>
      </c>
      <c r="K30">
        <v>0</v>
      </c>
      <c r="L30">
        <v>46.25</v>
      </c>
      <c r="M30">
        <v>134.22</v>
      </c>
      <c r="N30">
        <v>75.23</v>
      </c>
      <c r="O30">
        <v>1.78</v>
      </c>
      <c r="P30">
        <v>0.15</v>
      </c>
      <c r="Q30">
        <v>29.24</v>
      </c>
      <c r="R30">
        <v>7.82</v>
      </c>
    </row>
    <row r="31" spans="1:18">
      <c r="A31">
        <v>23</v>
      </c>
      <c r="B31">
        <v>0</v>
      </c>
      <c r="C31">
        <v>21.453572999999999</v>
      </c>
      <c r="D31">
        <v>0</v>
      </c>
      <c r="E31">
        <v>1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58.08</v>
      </c>
      <c r="M31">
        <v>143.58000000000001</v>
      </c>
      <c r="N31">
        <v>103.42</v>
      </c>
      <c r="O31">
        <v>1.39</v>
      </c>
      <c r="P31">
        <v>0.21</v>
      </c>
      <c r="Q31">
        <v>33.22</v>
      </c>
      <c r="R31">
        <v>8.2799999999999994</v>
      </c>
    </row>
    <row r="32" spans="1:18">
      <c r="A32">
        <v>64</v>
      </c>
      <c r="B32">
        <v>0</v>
      </c>
      <c r="C32">
        <v>23.051753999999999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32.69</v>
      </c>
      <c r="M32">
        <v>18.52</v>
      </c>
      <c r="N32">
        <v>66.41</v>
      </c>
      <c r="O32">
        <v>0.28000000000000003</v>
      </c>
      <c r="P32">
        <v>1.43</v>
      </c>
      <c r="Q32">
        <v>28.58</v>
      </c>
      <c r="R32">
        <v>3.14</v>
      </c>
    </row>
    <row r="33" spans="1:18">
      <c r="A33">
        <v>52</v>
      </c>
      <c r="B33">
        <v>0</v>
      </c>
      <c r="C33">
        <v>22.832879999999999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38.549999999999997</v>
      </c>
      <c r="M33">
        <v>60.21</v>
      </c>
      <c r="N33">
        <v>36.42</v>
      </c>
      <c r="O33">
        <v>1.65</v>
      </c>
      <c r="P33">
        <v>0.34</v>
      </c>
      <c r="Q33">
        <v>26.67</v>
      </c>
      <c r="R33">
        <v>5.26</v>
      </c>
    </row>
    <row r="34" spans="1:18">
      <c r="A34">
        <v>37</v>
      </c>
      <c r="B34">
        <v>0</v>
      </c>
      <c r="C34">
        <v>22.582708</v>
      </c>
      <c r="D34">
        <v>0</v>
      </c>
      <c r="E34">
        <v>1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  <c r="L34">
        <v>47.09</v>
      </c>
      <c r="M34">
        <v>76.97</v>
      </c>
      <c r="N34">
        <v>99.34</v>
      </c>
      <c r="O34">
        <v>0.77</v>
      </c>
      <c r="P34">
        <v>0.92</v>
      </c>
      <c r="Q34">
        <v>21.44</v>
      </c>
      <c r="R34">
        <v>6.22</v>
      </c>
    </row>
    <row r="35" spans="1:18">
      <c r="A35">
        <v>35</v>
      </c>
      <c r="B35">
        <v>1</v>
      </c>
      <c r="C35">
        <v>17.632652</v>
      </c>
      <c r="D35">
        <v>0</v>
      </c>
      <c r="E35">
        <v>1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27.4</v>
      </c>
      <c r="M35">
        <v>47.51</v>
      </c>
      <c r="N35">
        <v>32.25</v>
      </c>
      <c r="O35">
        <v>1.47</v>
      </c>
      <c r="P35">
        <v>0.62</v>
      </c>
      <c r="Q35">
        <v>24.2</v>
      </c>
      <c r="R35">
        <v>2.39</v>
      </c>
    </row>
    <row r="36" spans="1:18">
      <c r="A36">
        <v>43</v>
      </c>
      <c r="B36">
        <v>1</v>
      </c>
      <c r="C36">
        <v>29.411764000000002</v>
      </c>
      <c r="D36">
        <v>0</v>
      </c>
      <c r="E36">
        <v>1</v>
      </c>
      <c r="F36">
        <v>0</v>
      </c>
      <c r="G36">
        <v>1</v>
      </c>
      <c r="H36">
        <v>0</v>
      </c>
      <c r="I36">
        <v>1</v>
      </c>
      <c r="J36">
        <v>0</v>
      </c>
      <c r="K36">
        <v>0</v>
      </c>
      <c r="L36">
        <v>34.049999999999997</v>
      </c>
      <c r="M36">
        <v>20.05</v>
      </c>
      <c r="N36">
        <v>71.64</v>
      </c>
      <c r="O36">
        <v>0.28000000000000003</v>
      </c>
      <c r="P36">
        <v>0.46</v>
      </c>
      <c r="Q36">
        <v>32.57</v>
      </c>
      <c r="R36">
        <v>10.25</v>
      </c>
    </row>
    <row r="37" spans="1:18">
      <c r="A37">
        <v>39</v>
      </c>
      <c r="B37">
        <v>0</v>
      </c>
      <c r="C37">
        <v>23.875114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92.39</v>
      </c>
      <c r="M37">
        <v>434.63</v>
      </c>
      <c r="N37">
        <v>622.46</v>
      </c>
      <c r="O37">
        <v>0.7</v>
      </c>
      <c r="P37">
        <v>0.77</v>
      </c>
      <c r="Q37">
        <v>32.33</v>
      </c>
      <c r="R37">
        <v>17.48</v>
      </c>
    </row>
    <row r="38" spans="1:18">
      <c r="A38">
        <v>39</v>
      </c>
      <c r="B38">
        <v>1</v>
      </c>
      <c r="C38">
        <v>20.964361</v>
      </c>
      <c r="D38">
        <v>0</v>
      </c>
      <c r="E38">
        <v>1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39.520000000000003</v>
      </c>
      <c r="M38">
        <v>28.76</v>
      </c>
      <c r="N38">
        <v>42.35</v>
      </c>
      <c r="O38">
        <v>0.68</v>
      </c>
      <c r="P38">
        <v>2.79</v>
      </c>
      <c r="Q38">
        <v>29.82</v>
      </c>
      <c r="R38">
        <v>8.01</v>
      </c>
    </row>
    <row r="39" spans="1:18">
      <c r="A39">
        <v>41</v>
      </c>
      <c r="B39">
        <v>1</v>
      </c>
      <c r="C39">
        <v>25.605536000000001</v>
      </c>
      <c r="D39">
        <v>0</v>
      </c>
      <c r="E39">
        <v>1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70.84</v>
      </c>
      <c r="M39">
        <v>212.83</v>
      </c>
      <c r="N39">
        <v>198.72</v>
      </c>
      <c r="O39">
        <v>1.07</v>
      </c>
      <c r="P39">
        <v>0.21</v>
      </c>
      <c r="Q39">
        <v>28.89</v>
      </c>
      <c r="R39">
        <v>7.31</v>
      </c>
    </row>
    <row r="40" spans="1:18">
      <c r="A40">
        <v>33</v>
      </c>
      <c r="B40">
        <v>1</v>
      </c>
      <c r="C40">
        <v>27.102041</v>
      </c>
      <c r="D40">
        <v>0</v>
      </c>
      <c r="E40">
        <v>0</v>
      </c>
      <c r="F40">
        <v>1</v>
      </c>
      <c r="G40">
        <v>0</v>
      </c>
      <c r="H40">
        <v>1</v>
      </c>
      <c r="I40">
        <v>0</v>
      </c>
      <c r="J40">
        <v>0</v>
      </c>
      <c r="K40">
        <v>0</v>
      </c>
      <c r="L40">
        <v>50.41</v>
      </c>
      <c r="M40">
        <v>125.11</v>
      </c>
      <c r="N40">
        <v>139.36000000000001</v>
      </c>
      <c r="O40">
        <v>0.9</v>
      </c>
      <c r="P40">
        <v>0.23</v>
      </c>
      <c r="Q40">
        <v>31.38</v>
      </c>
      <c r="R40">
        <v>7.06</v>
      </c>
    </row>
    <row r="41" spans="1:18">
      <c r="A41">
        <v>52</v>
      </c>
      <c r="B41">
        <v>0</v>
      </c>
      <c r="C41">
        <v>16.023073</v>
      </c>
      <c r="D41">
        <v>0</v>
      </c>
      <c r="E41">
        <v>1</v>
      </c>
      <c r="F41">
        <v>1</v>
      </c>
      <c r="G41">
        <v>0</v>
      </c>
      <c r="H41">
        <v>1</v>
      </c>
      <c r="I41">
        <v>0</v>
      </c>
      <c r="J41">
        <v>0</v>
      </c>
      <c r="K41">
        <v>0</v>
      </c>
      <c r="L41">
        <v>72.239999999999995</v>
      </c>
      <c r="M41">
        <v>95.54</v>
      </c>
      <c r="N41">
        <v>214.23</v>
      </c>
      <c r="O41">
        <v>0.45</v>
      </c>
      <c r="P41">
        <v>0.65</v>
      </c>
      <c r="Q41">
        <v>26.27</v>
      </c>
      <c r="R41">
        <v>13.87</v>
      </c>
    </row>
    <row r="42" spans="1:18">
      <c r="A42">
        <v>57</v>
      </c>
      <c r="B42">
        <v>0</v>
      </c>
      <c r="C42">
        <v>22.100290000000001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57.29</v>
      </c>
      <c r="M42">
        <v>83.64</v>
      </c>
      <c r="N42">
        <v>278.74</v>
      </c>
      <c r="O42">
        <v>0.3</v>
      </c>
      <c r="P42">
        <v>0.36</v>
      </c>
      <c r="Q42">
        <v>33.19</v>
      </c>
      <c r="R42">
        <v>5.15</v>
      </c>
    </row>
    <row r="43" spans="1:18">
      <c r="A43">
        <v>60</v>
      </c>
      <c r="B43">
        <v>0</v>
      </c>
      <c r="C43">
        <v>20.3125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36.81</v>
      </c>
      <c r="M43">
        <v>47.19</v>
      </c>
      <c r="N43">
        <v>55</v>
      </c>
      <c r="O43">
        <v>0.86</v>
      </c>
      <c r="P43">
        <v>0.46</v>
      </c>
      <c r="Q43">
        <v>27.92</v>
      </c>
      <c r="R43">
        <v>4.9800000000000004</v>
      </c>
    </row>
    <row r="44" spans="1:18">
      <c r="A44">
        <v>58</v>
      </c>
      <c r="B44">
        <v>0</v>
      </c>
      <c r="C44">
        <v>22.718975</v>
      </c>
      <c r="D44">
        <v>0</v>
      </c>
      <c r="E44">
        <v>1</v>
      </c>
      <c r="F44">
        <v>0</v>
      </c>
      <c r="G44">
        <v>1</v>
      </c>
      <c r="H44">
        <v>1</v>
      </c>
      <c r="I44">
        <v>0</v>
      </c>
      <c r="J44">
        <v>0</v>
      </c>
      <c r="K44">
        <v>0</v>
      </c>
      <c r="L44">
        <v>28.51</v>
      </c>
      <c r="M44">
        <v>54.39</v>
      </c>
      <c r="N44">
        <v>8.34</v>
      </c>
      <c r="O44">
        <v>6.52</v>
      </c>
      <c r="P44">
        <v>0.76</v>
      </c>
      <c r="Q44">
        <v>29.74</v>
      </c>
      <c r="R44">
        <v>4.4000000000000004</v>
      </c>
    </row>
    <row r="45" spans="1:18">
      <c r="A45">
        <v>29</v>
      </c>
      <c r="B45">
        <v>0</v>
      </c>
      <c r="C45">
        <v>27.434843000000001</v>
      </c>
      <c r="D45">
        <v>0</v>
      </c>
      <c r="E45">
        <v>0</v>
      </c>
      <c r="F45">
        <v>1</v>
      </c>
      <c r="G45">
        <v>0</v>
      </c>
      <c r="H45">
        <v>1</v>
      </c>
      <c r="I45">
        <v>0</v>
      </c>
      <c r="J45">
        <v>0</v>
      </c>
      <c r="K45">
        <v>0</v>
      </c>
      <c r="L45">
        <v>49.49</v>
      </c>
      <c r="M45">
        <v>152.13</v>
      </c>
      <c r="N45">
        <v>64.63</v>
      </c>
      <c r="O45">
        <v>2.35</v>
      </c>
      <c r="P45">
        <v>0.65</v>
      </c>
      <c r="Q45">
        <v>34.08</v>
      </c>
      <c r="R45">
        <v>5.95</v>
      </c>
    </row>
    <row r="46" spans="1:18">
      <c r="A46">
        <v>51</v>
      </c>
      <c r="B46">
        <v>0</v>
      </c>
      <c r="C46">
        <v>21.778435000000002</v>
      </c>
      <c r="D46">
        <v>0</v>
      </c>
      <c r="E46">
        <v>1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32.14</v>
      </c>
      <c r="M46">
        <v>19.600000000000001</v>
      </c>
      <c r="N46">
        <v>31.95</v>
      </c>
      <c r="O46">
        <v>0.61</v>
      </c>
      <c r="P46">
        <v>0.4</v>
      </c>
      <c r="Q46">
        <v>29.29</v>
      </c>
      <c r="R46">
        <v>6.4</v>
      </c>
    </row>
    <row r="47" spans="1:18">
      <c r="A47">
        <v>52</v>
      </c>
      <c r="B47">
        <v>1</v>
      </c>
      <c r="C47">
        <v>15.193553</v>
      </c>
      <c r="D47">
        <v>0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24.46</v>
      </c>
      <c r="M47">
        <v>33.299999999999997</v>
      </c>
      <c r="N47">
        <v>13.7</v>
      </c>
      <c r="O47">
        <v>2.4300000000000002</v>
      </c>
      <c r="P47">
        <v>0.12</v>
      </c>
      <c r="Q47">
        <v>32.36</v>
      </c>
      <c r="R47">
        <v>4.03</v>
      </c>
    </row>
    <row r="48" spans="1:18">
      <c r="A48">
        <v>64</v>
      </c>
      <c r="B48">
        <v>1</v>
      </c>
      <c r="C48">
        <v>18.924942000000001</v>
      </c>
      <c r="D48">
        <v>0</v>
      </c>
      <c r="E48">
        <v>1</v>
      </c>
      <c r="F48">
        <v>1</v>
      </c>
      <c r="G48">
        <v>0</v>
      </c>
      <c r="H48">
        <v>1</v>
      </c>
      <c r="I48">
        <v>0</v>
      </c>
      <c r="J48">
        <v>0</v>
      </c>
      <c r="K48">
        <v>0</v>
      </c>
      <c r="L48">
        <v>102.19</v>
      </c>
      <c r="M48">
        <v>374.19</v>
      </c>
      <c r="N48">
        <v>764.71</v>
      </c>
      <c r="O48">
        <v>0.49</v>
      </c>
      <c r="P48">
        <v>1.1000000000000001</v>
      </c>
      <c r="Q48">
        <v>32.29</v>
      </c>
      <c r="R48">
        <v>6.81</v>
      </c>
    </row>
    <row r="49" spans="1:18">
      <c r="A49">
        <v>63</v>
      </c>
      <c r="B49">
        <v>0</v>
      </c>
      <c r="C49">
        <v>21.082813000000002</v>
      </c>
      <c r="D49">
        <v>0</v>
      </c>
      <c r="E49">
        <v>1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65.02</v>
      </c>
      <c r="M49">
        <v>59.87</v>
      </c>
      <c r="N49">
        <v>366.88</v>
      </c>
      <c r="O49">
        <v>0.16</v>
      </c>
      <c r="P49">
        <v>0.27</v>
      </c>
      <c r="Q49">
        <v>28.4</v>
      </c>
      <c r="R49">
        <v>15.16</v>
      </c>
    </row>
    <row r="50" spans="1:18">
      <c r="A50">
        <v>65</v>
      </c>
      <c r="B50">
        <v>1</v>
      </c>
      <c r="C50">
        <v>18.9069</v>
      </c>
      <c r="D50">
        <v>0</v>
      </c>
      <c r="E50">
        <v>1</v>
      </c>
      <c r="F50">
        <v>1</v>
      </c>
      <c r="G50">
        <v>0</v>
      </c>
      <c r="H50">
        <v>1</v>
      </c>
      <c r="I50">
        <v>0</v>
      </c>
      <c r="J50">
        <v>0</v>
      </c>
      <c r="K50">
        <v>0</v>
      </c>
      <c r="L50">
        <v>98.04</v>
      </c>
      <c r="M50">
        <v>731.3</v>
      </c>
      <c r="N50">
        <v>372.79</v>
      </c>
      <c r="O50">
        <v>1.96</v>
      </c>
      <c r="P50">
        <v>0.38</v>
      </c>
      <c r="Q50">
        <v>33.99</v>
      </c>
      <c r="R50">
        <v>4.26</v>
      </c>
    </row>
    <row r="51" spans="1:18">
      <c r="A51">
        <v>46</v>
      </c>
      <c r="B51">
        <v>1</v>
      </c>
      <c r="C51">
        <v>22.093170000000001</v>
      </c>
      <c r="D51">
        <v>0</v>
      </c>
      <c r="E51">
        <v>0</v>
      </c>
      <c r="F51">
        <v>1</v>
      </c>
      <c r="G51">
        <v>0</v>
      </c>
      <c r="H51">
        <v>1</v>
      </c>
      <c r="I51">
        <v>0</v>
      </c>
      <c r="J51">
        <v>0</v>
      </c>
      <c r="K51">
        <v>0</v>
      </c>
      <c r="L51">
        <v>24.91</v>
      </c>
      <c r="M51">
        <v>52.77</v>
      </c>
      <c r="N51">
        <v>15.7</v>
      </c>
      <c r="O51">
        <v>3.36</v>
      </c>
      <c r="P51">
        <v>3.57</v>
      </c>
      <c r="Q51">
        <v>32.56</v>
      </c>
      <c r="R51">
        <v>4.2699999999999996</v>
      </c>
    </row>
    <row r="52" spans="1:18">
      <c r="A52">
        <v>22</v>
      </c>
      <c r="B52">
        <v>1</v>
      </c>
      <c r="C52">
        <v>22.093170000000001</v>
      </c>
      <c r="D52">
        <v>0</v>
      </c>
      <c r="E52">
        <v>1</v>
      </c>
      <c r="F52">
        <v>0</v>
      </c>
      <c r="G52">
        <v>1</v>
      </c>
      <c r="H52">
        <v>1</v>
      </c>
      <c r="I52">
        <v>0</v>
      </c>
      <c r="J52">
        <v>0</v>
      </c>
      <c r="K52">
        <v>0</v>
      </c>
      <c r="L52">
        <v>27.5</v>
      </c>
      <c r="M52">
        <v>20.239999999999998</v>
      </c>
      <c r="N52">
        <v>45.53</v>
      </c>
      <c r="O52">
        <v>0.44</v>
      </c>
      <c r="P52">
        <v>0.79</v>
      </c>
      <c r="Q52">
        <v>33.85</v>
      </c>
      <c r="R52">
        <v>6.36</v>
      </c>
    </row>
    <row r="53" spans="1:18">
      <c r="A53">
        <v>57</v>
      </c>
      <c r="B53">
        <v>1</v>
      </c>
      <c r="C53">
        <v>24.092970000000001</v>
      </c>
      <c r="D53">
        <v>0</v>
      </c>
      <c r="E53">
        <v>1</v>
      </c>
      <c r="F53">
        <v>1</v>
      </c>
      <c r="G53">
        <v>0</v>
      </c>
      <c r="H53">
        <v>1</v>
      </c>
      <c r="I53">
        <v>0</v>
      </c>
      <c r="J53">
        <v>0</v>
      </c>
      <c r="K53">
        <v>0</v>
      </c>
      <c r="L53">
        <v>143.19999999999999</v>
      </c>
      <c r="M53">
        <v>426.2</v>
      </c>
      <c r="N53">
        <v>1393.72</v>
      </c>
      <c r="O53">
        <v>0.31</v>
      </c>
      <c r="P53">
        <v>0.59</v>
      </c>
      <c r="Q53">
        <v>33.57</v>
      </c>
      <c r="R53">
        <v>8.34</v>
      </c>
    </row>
    <row r="54" spans="1:18">
      <c r="A54">
        <v>39</v>
      </c>
      <c r="B54">
        <v>0</v>
      </c>
      <c r="C54">
        <v>21.359306</v>
      </c>
      <c r="D54">
        <v>0</v>
      </c>
      <c r="E54">
        <v>1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88.97</v>
      </c>
      <c r="M54">
        <v>191.25</v>
      </c>
      <c r="N54">
        <v>780.5</v>
      </c>
      <c r="O54">
        <v>0.25</v>
      </c>
      <c r="P54">
        <v>0.16</v>
      </c>
      <c r="Q54">
        <v>25.68</v>
      </c>
      <c r="R54">
        <v>9.74</v>
      </c>
    </row>
    <row r="55" spans="1:18">
      <c r="A55">
        <v>53</v>
      </c>
      <c r="B55">
        <v>1</v>
      </c>
      <c r="C55">
        <v>20.177149</v>
      </c>
      <c r="D55">
        <v>0</v>
      </c>
      <c r="E55">
        <v>1</v>
      </c>
      <c r="F55">
        <v>1</v>
      </c>
      <c r="G55">
        <v>1</v>
      </c>
      <c r="H55">
        <v>1</v>
      </c>
      <c r="I55">
        <v>0</v>
      </c>
      <c r="J55">
        <v>0</v>
      </c>
      <c r="K55">
        <v>0</v>
      </c>
      <c r="L55">
        <v>29.1</v>
      </c>
      <c r="M55">
        <v>15.14</v>
      </c>
      <c r="N55">
        <v>23</v>
      </c>
      <c r="O55">
        <v>0.66</v>
      </c>
      <c r="P55">
        <v>0.26</v>
      </c>
      <c r="Q55">
        <v>34.299999999999997</v>
      </c>
      <c r="R55">
        <v>4.1500000000000004</v>
      </c>
    </row>
    <row r="56" spans="1:18">
      <c r="A56">
        <v>57</v>
      </c>
      <c r="B56">
        <v>1</v>
      </c>
      <c r="C56">
        <v>22.83737</v>
      </c>
      <c r="D56">
        <v>0</v>
      </c>
      <c r="E56">
        <v>1</v>
      </c>
      <c r="F56">
        <v>1</v>
      </c>
      <c r="G56">
        <v>0</v>
      </c>
      <c r="H56">
        <v>1</v>
      </c>
      <c r="I56">
        <v>0</v>
      </c>
      <c r="J56">
        <v>0</v>
      </c>
      <c r="K56">
        <v>0</v>
      </c>
      <c r="L56">
        <v>68.63</v>
      </c>
      <c r="M56">
        <v>59.51</v>
      </c>
      <c r="N56">
        <v>125.28</v>
      </c>
      <c r="O56">
        <v>0.48</v>
      </c>
      <c r="P56">
        <v>0.56999999999999995</v>
      </c>
      <c r="Q56">
        <v>30.72</v>
      </c>
      <c r="R56">
        <v>10.66</v>
      </c>
    </row>
    <row r="57" spans="1:18">
      <c r="A57">
        <v>45</v>
      </c>
      <c r="B57">
        <v>1</v>
      </c>
      <c r="C57">
        <v>25.402816999999999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42.56</v>
      </c>
      <c r="M57">
        <v>121.22</v>
      </c>
      <c r="N57">
        <v>93.2</v>
      </c>
      <c r="O57">
        <v>1.3</v>
      </c>
      <c r="P57">
        <v>0.8</v>
      </c>
      <c r="Q57">
        <v>33.11</v>
      </c>
      <c r="R57">
        <v>7.3</v>
      </c>
    </row>
    <row r="58" spans="1:18">
      <c r="A58">
        <v>45</v>
      </c>
      <c r="B58">
        <v>1</v>
      </c>
      <c r="C58">
        <v>22.720438000000001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58.07</v>
      </c>
      <c r="M58">
        <v>80.38</v>
      </c>
      <c r="N58">
        <v>143.91999999999999</v>
      </c>
      <c r="O58">
        <v>0.56000000000000005</v>
      </c>
      <c r="P58">
        <v>0.1</v>
      </c>
      <c r="Q58">
        <v>30.9</v>
      </c>
      <c r="R58">
        <v>6.33</v>
      </c>
    </row>
    <row r="59" spans="1:18">
      <c r="A59">
        <v>34</v>
      </c>
      <c r="B59">
        <v>0</v>
      </c>
      <c r="C59">
        <v>21.333334000000001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37.56</v>
      </c>
      <c r="M59">
        <v>51.67</v>
      </c>
      <c r="N59">
        <v>62.58</v>
      </c>
      <c r="O59">
        <v>0.83</v>
      </c>
      <c r="P59">
        <v>0.28999999999999998</v>
      </c>
      <c r="Q59">
        <v>24.48</v>
      </c>
      <c r="R59">
        <v>7.88</v>
      </c>
    </row>
    <row r="60" spans="1:18">
      <c r="A60">
        <v>61</v>
      </c>
      <c r="B60">
        <v>0</v>
      </c>
      <c r="C60">
        <v>26.775933999999999</v>
      </c>
      <c r="D60">
        <v>0</v>
      </c>
      <c r="E60">
        <v>0</v>
      </c>
      <c r="F60">
        <v>0</v>
      </c>
      <c r="G60">
        <v>0</v>
      </c>
      <c r="H60">
        <v>1</v>
      </c>
      <c r="I60">
        <v>1</v>
      </c>
      <c r="J60">
        <v>0</v>
      </c>
      <c r="K60">
        <v>0</v>
      </c>
      <c r="L60">
        <v>29.38</v>
      </c>
      <c r="M60">
        <v>24.2</v>
      </c>
      <c r="N60">
        <v>26.98</v>
      </c>
      <c r="O60">
        <v>0.9</v>
      </c>
      <c r="P60">
        <v>0.48</v>
      </c>
      <c r="Q60">
        <v>34.04</v>
      </c>
      <c r="R60">
        <v>3.16</v>
      </c>
    </row>
    <row r="61" spans="1:18">
      <c r="A61">
        <v>67</v>
      </c>
      <c r="B61">
        <v>0</v>
      </c>
      <c r="C61">
        <v>25.476659999999999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96.53</v>
      </c>
      <c r="M61">
        <v>243.26</v>
      </c>
      <c r="N61">
        <v>431.55</v>
      </c>
      <c r="O61">
        <v>0.56000000000000005</v>
      </c>
      <c r="P61">
        <v>0.21</v>
      </c>
      <c r="Q61">
        <v>33.04</v>
      </c>
      <c r="R61">
        <v>8.48</v>
      </c>
    </row>
    <row r="62" spans="1:18">
      <c r="A62">
        <v>56</v>
      </c>
      <c r="B62">
        <v>0</v>
      </c>
      <c r="C62">
        <v>21.644120999999998</v>
      </c>
      <c r="D62">
        <v>0</v>
      </c>
      <c r="E62">
        <v>0</v>
      </c>
      <c r="F62">
        <v>1</v>
      </c>
      <c r="G62">
        <v>0</v>
      </c>
      <c r="H62">
        <v>1</v>
      </c>
      <c r="I62">
        <v>0</v>
      </c>
      <c r="J62">
        <v>0</v>
      </c>
      <c r="K62">
        <v>0</v>
      </c>
      <c r="L62">
        <v>58.85</v>
      </c>
      <c r="M62">
        <v>14.83</v>
      </c>
      <c r="N62">
        <v>50.48</v>
      </c>
      <c r="O62">
        <v>0.28999999999999998</v>
      </c>
      <c r="P62">
        <v>0.3</v>
      </c>
      <c r="Q62">
        <v>31.96</v>
      </c>
      <c r="R62">
        <v>3.89</v>
      </c>
    </row>
    <row r="63" spans="1:18">
      <c r="A63">
        <v>44</v>
      </c>
      <c r="B63">
        <v>1</v>
      </c>
      <c r="C63">
        <v>41.522489999999998</v>
      </c>
      <c r="D63">
        <v>0</v>
      </c>
      <c r="E63">
        <v>1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85.39</v>
      </c>
      <c r="M63">
        <v>391.6</v>
      </c>
      <c r="N63">
        <v>743.68</v>
      </c>
      <c r="O63">
        <v>0.53</v>
      </c>
      <c r="P63">
        <v>0.12</v>
      </c>
      <c r="Q63">
        <v>32.29</v>
      </c>
      <c r="R63">
        <v>8.9600000000000009</v>
      </c>
    </row>
    <row r="64" spans="1:18">
      <c r="A64">
        <v>51</v>
      </c>
      <c r="B64">
        <v>1</v>
      </c>
      <c r="C64">
        <v>36.063164</v>
      </c>
      <c r="D64">
        <v>0</v>
      </c>
      <c r="E64">
        <v>1</v>
      </c>
      <c r="F64">
        <v>0</v>
      </c>
      <c r="G64">
        <v>1</v>
      </c>
      <c r="H64">
        <v>1</v>
      </c>
      <c r="I64">
        <v>0</v>
      </c>
      <c r="J64">
        <v>0</v>
      </c>
      <c r="K64">
        <v>0</v>
      </c>
      <c r="L64">
        <v>268.05</v>
      </c>
      <c r="M64">
        <v>2487.2600000000002</v>
      </c>
      <c r="N64">
        <v>6138.9</v>
      </c>
      <c r="O64">
        <v>0.41</v>
      </c>
      <c r="P64">
        <v>0.38</v>
      </c>
      <c r="Q64">
        <v>32.47</v>
      </c>
      <c r="R64">
        <v>46.21</v>
      </c>
    </row>
    <row r="65" spans="1:18">
      <c r="A65">
        <v>44</v>
      </c>
      <c r="B65">
        <v>0</v>
      </c>
      <c r="C65">
        <v>22.230988</v>
      </c>
      <c r="D65">
        <v>0</v>
      </c>
      <c r="E65">
        <v>1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41.11</v>
      </c>
      <c r="M65">
        <v>51.2</v>
      </c>
      <c r="N65">
        <v>121.42</v>
      </c>
      <c r="O65">
        <v>0.42</v>
      </c>
      <c r="P65">
        <v>0.22</v>
      </c>
      <c r="Q65">
        <v>30.08</v>
      </c>
      <c r="R65">
        <v>5.83</v>
      </c>
    </row>
    <row r="66" spans="1:18">
      <c r="A66">
        <v>49</v>
      </c>
      <c r="B66">
        <v>1</v>
      </c>
      <c r="C66">
        <v>22.229061000000002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43</v>
      </c>
      <c r="M66">
        <v>89.4</v>
      </c>
      <c r="N66">
        <v>117.76</v>
      </c>
      <c r="O66">
        <v>0.76</v>
      </c>
      <c r="P66">
        <v>0.26</v>
      </c>
      <c r="Q66">
        <v>30.47</v>
      </c>
      <c r="R66">
        <v>7.84</v>
      </c>
    </row>
    <row r="67" spans="1:18">
      <c r="A67">
        <v>37</v>
      </c>
      <c r="B67">
        <v>1</v>
      </c>
      <c r="C67">
        <v>26.729927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60.08</v>
      </c>
      <c r="M67">
        <v>268.33999999999997</v>
      </c>
      <c r="N67">
        <v>249.96</v>
      </c>
      <c r="O67">
        <v>1.07</v>
      </c>
      <c r="P67">
        <v>0.7</v>
      </c>
      <c r="Q67">
        <v>26.42</v>
      </c>
      <c r="R67">
        <v>10.4</v>
      </c>
    </row>
    <row r="68" spans="1:18">
      <c r="A68">
        <v>42</v>
      </c>
      <c r="B68">
        <v>0</v>
      </c>
      <c r="C68">
        <v>21.989892999999999</v>
      </c>
      <c r="D68">
        <v>0</v>
      </c>
      <c r="E68">
        <v>1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42.67</v>
      </c>
      <c r="M68">
        <v>67.39</v>
      </c>
      <c r="N68">
        <v>134.33000000000001</v>
      </c>
      <c r="O68">
        <v>0.5</v>
      </c>
      <c r="P68">
        <v>0.12</v>
      </c>
      <c r="Q68">
        <v>29.33</v>
      </c>
      <c r="R68">
        <v>5.37</v>
      </c>
    </row>
    <row r="69" spans="1:18">
      <c r="A69">
        <v>59</v>
      </c>
      <c r="B69">
        <v>0</v>
      </c>
      <c r="C69">
        <v>28.228386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12.54</v>
      </c>
      <c r="M69">
        <v>4.3600000000000003</v>
      </c>
      <c r="N69">
        <v>12.04</v>
      </c>
      <c r="O69">
        <v>0.36</v>
      </c>
      <c r="P69">
        <v>0.37</v>
      </c>
      <c r="Q69">
        <v>34.44</v>
      </c>
      <c r="R69">
        <v>1.84</v>
      </c>
    </row>
    <row r="70" spans="1:18">
      <c r="A70">
        <v>40</v>
      </c>
      <c r="B70">
        <v>0</v>
      </c>
      <c r="C70">
        <v>17.578125</v>
      </c>
      <c r="D70">
        <v>0</v>
      </c>
      <c r="E70">
        <v>1</v>
      </c>
      <c r="F70">
        <v>1</v>
      </c>
      <c r="G70">
        <v>0</v>
      </c>
      <c r="H70">
        <v>1</v>
      </c>
      <c r="I70">
        <v>0</v>
      </c>
      <c r="J70">
        <v>0</v>
      </c>
      <c r="K70">
        <v>0</v>
      </c>
      <c r="L70">
        <v>68.28</v>
      </c>
      <c r="M70">
        <v>321.27999999999997</v>
      </c>
      <c r="N70">
        <v>260.5</v>
      </c>
      <c r="O70">
        <v>1.23</v>
      </c>
      <c r="P70">
        <v>0.25</v>
      </c>
      <c r="Q70">
        <v>33.01</v>
      </c>
      <c r="R70">
        <v>8.59</v>
      </c>
    </row>
    <row r="71" spans="1:18">
      <c r="A71">
        <v>55</v>
      </c>
      <c r="B71">
        <v>1</v>
      </c>
      <c r="C71">
        <v>23.028202</v>
      </c>
      <c r="D71">
        <v>0</v>
      </c>
      <c r="E71">
        <v>1</v>
      </c>
      <c r="F71">
        <v>1</v>
      </c>
      <c r="G71">
        <v>0</v>
      </c>
      <c r="H71">
        <v>0</v>
      </c>
      <c r="I71">
        <v>1</v>
      </c>
      <c r="J71">
        <v>0</v>
      </c>
      <c r="K71">
        <v>0</v>
      </c>
      <c r="L71">
        <v>11.82</v>
      </c>
      <c r="M71">
        <v>2.9</v>
      </c>
      <c r="N71">
        <v>4.75</v>
      </c>
      <c r="O71">
        <v>0.61</v>
      </c>
      <c r="P71">
        <v>0.19</v>
      </c>
      <c r="Q71">
        <v>31.85</v>
      </c>
      <c r="R71">
        <v>3.62</v>
      </c>
    </row>
    <row r="72" spans="1:18">
      <c r="A72">
        <v>27</v>
      </c>
      <c r="B72">
        <v>1</v>
      </c>
      <c r="C72">
        <v>22.758306999999999</v>
      </c>
      <c r="D72">
        <v>0</v>
      </c>
      <c r="E72">
        <v>1</v>
      </c>
      <c r="F72">
        <v>1</v>
      </c>
      <c r="G72">
        <v>0</v>
      </c>
      <c r="H72">
        <v>1</v>
      </c>
      <c r="I72">
        <v>0</v>
      </c>
      <c r="J72">
        <v>0</v>
      </c>
      <c r="K72">
        <v>0</v>
      </c>
      <c r="L72">
        <v>23.63</v>
      </c>
      <c r="M72">
        <v>22.3</v>
      </c>
      <c r="N72">
        <v>24.67</v>
      </c>
      <c r="O72">
        <v>0.9</v>
      </c>
      <c r="P72">
        <v>1.87</v>
      </c>
      <c r="Q72">
        <v>34.54</v>
      </c>
      <c r="R72">
        <v>5.32</v>
      </c>
    </row>
    <row r="73" spans="1:18">
      <c r="A73">
        <v>47</v>
      </c>
      <c r="B73">
        <v>0</v>
      </c>
      <c r="C73">
        <v>27.141582</v>
      </c>
      <c r="D73">
        <v>0</v>
      </c>
      <c r="E73">
        <v>0</v>
      </c>
      <c r="F73">
        <v>1</v>
      </c>
      <c r="G73">
        <v>0</v>
      </c>
      <c r="H73">
        <v>1</v>
      </c>
      <c r="I73">
        <v>0</v>
      </c>
      <c r="J73">
        <v>0</v>
      </c>
      <c r="K73">
        <v>0</v>
      </c>
      <c r="L73">
        <v>59.29</v>
      </c>
      <c r="M73">
        <v>22.44</v>
      </c>
      <c r="N73">
        <v>78.98</v>
      </c>
      <c r="O73">
        <v>0.28000000000000003</v>
      </c>
      <c r="P73">
        <v>0.32</v>
      </c>
      <c r="Q73">
        <v>33.6</v>
      </c>
      <c r="R73">
        <v>5.25</v>
      </c>
    </row>
    <row r="74" spans="1:18">
      <c r="A74">
        <v>67</v>
      </c>
      <c r="B74">
        <v>0</v>
      </c>
      <c r="C74">
        <v>16.184275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21.74</v>
      </c>
      <c r="M74">
        <v>16.350000000000001</v>
      </c>
      <c r="N74">
        <v>14.41</v>
      </c>
      <c r="O74">
        <v>1.1299999999999999</v>
      </c>
      <c r="P74">
        <v>0.24</v>
      </c>
      <c r="Q74">
        <v>32.44</v>
      </c>
      <c r="R74">
        <v>3.64</v>
      </c>
    </row>
    <row r="75" spans="1:18">
      <c r="A75">
        <v>31</v>
      </c>
      <c r="B75">
        <v>1</v>
      </c>
      <c r="C75">
        <v>31.741789000000001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84.33</v>
      </c>
      <c r="M75">
        <v>230.79</v>
      </c>
      <c r="N75">
        <v>502.36</v>
      </c>
      <c r="O75">
        <v>0.46</v>
      </c>
      <c r="P75">
        <v>0.89</v>
      </c>
      <c r="Q75">
        <v>33.299999999999997</v>
      </c>
      <c r="R75">
        <v>8.9499999999999993</v>
      </c>
    </row>
    <row r="76" spans="1:18">
      <c r="A76">
        <v>55</v>
      </c>
      <c r="B76">
        <v>1</v>
      </c>
      <c r="C76">
        <v>20.619253</v>
      </c>
      <c r="D76">
        <v>0</v>
      </c>
      <c r="E76">
        <v>1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108.68</v>
      </c>
      <c r="M76">
        <v>560.02</v>
      </c>
      <c r="N76">
        <v>968.41</v>
      </c>
      <c r="O76">
        <v>0.57999999999999996</v>
      </c>
      <c r="P76">
        <v>0.44</v>
      </c>
      <c r="Q76">
        <v>32.520000000000003</v>
      </c>
      <c r="R76">
        <v>18.39</v>
      </c>
    </row>
    <row r="77" spans="1:18">
      <c r="A77">
        <v>56</v>
      </c>
      <c r="B77">
        <v>1</v>
      </c>
      <c r="C77">
        <v>18.710948999999999</v>
      </c>
      <c r="D77">
        <v>0</v>
      </c>
      <c r="E77">
        <v>1</v>
      </c>
      <c r="F77">
        <v>1</v>
      </c>
      <c r="G77">
        <v>0</v>
      </c>
      <c r="H77">
        <v>1</v>
      </c>
      <c r="I77">
        <v>0</v>
      </c>
      <c r="J77">
        <v>0</v>
      </c>
      <c r="K77">
        <v>0</v>
      </c>
      <c r="L77">
        <v>7.98</v>
      </c>
      <c r="M77">
        <v>1.47</v>
      </c>
      <c r="N77">
        <v>0.72</v>
      </c>
      <c r="O77">
        <v>2.0499999999999998</v>
      </c>
      <c r="P77">
        <v>0.22</v>
      </c>
      <c r="Q77">
        <v>31.99</v>
      </c>
      <c r="R77">
        <v>1.34</v>
      </c>
    </row>
    <row r="78" spans="1:18">
      <c r="A78">
        <v>42</v>
      </c>
      <c r="B78">
        <v>1</v>
      </c>
      <c r="C78">
        <v>25.951557000000001</v>
      </c>
      <c r="D78">
        <v>0</v>
      </c>
      <c r="E78">
        <v>1</v>
      </c>
      <c r="F78">
        <v>1</v>
      </c>
      <c r="G78">
        <v>0</v>
      </c>
      <c r="H78">
        <v>1</v>
      </c>
      <c r="I78">
        <v>0</v>
      </c>
      <c r="J78">
        <v>0</v>
      </c>
      <c r="K78">
        <v>0</v>
      </c>
      <c r="L78">
        <v>22.24</v>
      </c>
      <c r="M78">
        <v>55.48</v>
      </c>
      <c r="N78">
        <v>2.76</v>
      </c>
      <c r="O78">
        <v>20.14</v>
      </c>
      <c r="P78">
        <v>0.16</v>
      </c>
      <c r="Q78">
        <v>30.38</v>
      </c>
      <c r="R78">
        <v>6.23</v>
      </c>
    </row>
    <row r="79" spans="1:18">
      <c r="A79">
        <v>47</v>
      </c>
      <c r="B79">
        <v>0</v>
      </c>
      <c r="C79">
        <v>24.557753000000002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39.770000000000003</v>
      </c>
      <c r="M79">
        <v>32.090000000000003</v>
      </c>
      <c r="N79">
        <v>141.96</v>
      </c>
      <c r="O79">
        <v>0.23</v>
      </c>
      <c r="P79">
        <v>0.18</v>
      </c>
      <c r="Q79">
        <v>34.56</v>
      </c>
      <c r="R79">
        <v>7.23</v>
      </c>
    </row>
    <row r="80" spans="1:18">
      <c r="A80">
        <v>54</v>
      </c>
      <c r="B80">
        <v>0</v>
      </c>
      <c r="C80">
        <v>20.3125</v>
      </c>
      <c r="D80">
        <v>0</v>
      </c>
      <c r="E80">
        <v>1</v>
      </c>
      <c r="F80">
        <v>1</v>
      </c>
      <c r="G80">
        <v>0</v>
      </c>
      <c r="H80">
        <v>1</v>
      </c>
      <c r="I80">
        <v>0</v>
      </c>
      <c r="J80">
        <v>0</v>
      </c>
      <c r="K80">
        <v>0</v>
      </c>
      <c r="L80">
        <v>61.34</v>
      </c>
      <c r="M80">
        <v>167.89</v>
      </c>
      <c r="N80">
        <v>193.48</v>
      </c>
      <c r="O80">
        <v>0.87</v>
      </c>
      <c r="P80">
        <v>0.78</v>
      </c>
      <c r="Q80">
        <v>30.27</v>
      </c>
      <c r="R80">
        <v>5.13</v>
      </c>
    </row>
    <row r="81" spans="1:18">
      <c r="A81">
        <v>33</v>
      </c>
      <c r="B81">
        <v>0</v>
      </c>
      <c r="C81">
        <v>20.371029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1</v>
      </c>
      <c r="L81">
        <v>20.32</v>
      </c>
      <c r="M81">
        <v>7.35</v>
      </c>
      <c r="N81">
        <v>18.89</v>
      </c>
      <c r="O81">
        <v>0.39</v>
      </c>
      <c r="P81">
        <v>0.17</v>
      </c>
      <c r="Q81">
        <v>31.14</v>
      </c>
      <c r="R81">
        <v>2.5299999999999998</v>
      </c>
    </row>
    <row r="82" spans="1:18">
      <c r="A82">
        <v>45</v>
      </c>
      <c r="B82">
        <v>0</v>
      </c>
      <c r="C82">
        <v>17.575161000000001</v>
      </c>
      <c r="D82">
        <v>0</v>
      </c>
      <c r="E82">
        <v>1</v>
      </c>
      <c r="F82">
        <v>0</v>
      </c>
      <c r="G82">
        <v>1</v>
      </c>
      <c r="H82">
        <v>1</v>
      </c>
      <c r="I82">
        <v>0</v>
      </c>
      <c r="J82">
        <v>0</v>
      </c>
      <c r="K82">
        <v>0</v>
      </c>
      <c r="L82">
        <v>14.85</v>
      </c>
      <c r="M82">
        <v>9</v>
      </c>
      <c r="N82">
        <v>4.09</v>
      </c>
      <c r="O82">
        <v>2.2000000000000002</v>
      </c>
      <c r="P82">
        <v>0.33</v>
      </c>
      <c r="Q82">
        <v>27.22</v>
      </c>
      <c r="R82">
        <v>2.56</v>
      </c>
    </row>
    <row r="83" spans="1:18">
      <c r="A83">
        <v>48</v>
      </c>
      <c r="B83">
        <v>1</v>
      </c>
      <c r="C83">
        <v>23.040019999999998</v>
      </c>
      <c r="D83">
        <v>0</v>
      </c>
      <c r="E83">
        <v>1</v>
      </c>
      <c r="F83">
        <v>1</v>
      </c>
      <c r="G83">
        <v>1</v>
      </c>
      <c r="H83">
        <v>1</v>
      </c>
      <c r="I83">
        <v>0</v>
      </c>
      <c r="J83">
        <v>0</v>
      </c>
      <c r="K83">
        <v>0</v>
      </c>
      <c r="L83">
        <v>39.85</v>
      </c>
      <c r="M83">
        <v>21.04</v>
      </c>
      <c r="N83">
        <v>89.65</v>
      </c>
      <c r="O83">
        <v>0.23</v>
      </c>
      <c r="P83">
        <v>0.74</v>
      </c>
      <c r="Q83">
        <v>25.47</v>
      </c>
      <c r="R83">
        <v>6.51</v>
      </c>
    </row>
    <row r="84" spans="1:18">
      <c r="A84">
        <v>54</v>
      </c>
      <c r="B84">
        <v>1</v>
      </c>
      <c r="C84">
        <v>19.932064</v>
      </c>
      <c r="D84">
        <v>0</v>
      </c>
      <c r="E84">
        <v>1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39.21</v>
      </c>
      <c r="M84">
        <v>29.62</v>
      </c>
      <c r="N84">
        <v>21.99</v>
      </c>
      <c r="O84">
        <v>1.35</v>
      </c>
      <c r="P84">
        <v>1.0900000000000001</v>
      </c>
      <c r="Q84">
        <v>30.38</v>
      </c>
      <c r="R84">
        <v>2.0299999999999998</v>
      </c>
    </row>
    <row r="85" spans="1:18">
      <c r="A85">
        <v>57</v>
      </c>
      <c r="B85">
        <v>0</v>
      </c>
      <c r="C85">
        <v>25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11.73</v>
      </c>
      <c r="M85">
        <v>1.38</v>
      </c>
      <c r="N85">
        <v>4.83</v>
      </c>
      <c r="O85">
        <v>0.28999999999999998</v>
      </c>
      <c r="P85">
        <v>0.24</v>
      </c>
      <c r="Q85">
        <v>32.799999999999997</v>
      </c>
      <c r="R85">
        <v>1.65</v>
      </c>
    </row>
    <row r="86" spans="1:18">
      <c r="A86">
        <v>35</v>
      </c>
      <c r="B86">
        <v>0</v>
      </c>
      <c r="C86">
        <v>22.313278</v>
      </c>
      <c r="D86">
        <v>0</v>
      </c>
      <c r="E86">
        <v>1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31.97</v>
      </c>
      <c r="M86">
        <v>39.96</v>
      </c>
      <c r="N86">
        <v>77.81</v>
      </c>
      <c r="O86">
        <v>0.51</v>
      </c>
      <c r="P86">
        <v>0.22</v>
      </c>
      <c r="Q86">
        <v>31.42</v>
      </c>
      <c r="R86">
        <v>3.77</v>
      </c>
    </row>
    <row r="87" spans="1:18">
      <c r="A87">
        <v>48</v>
      </c>
      <c r="B87">
        <v>1</v>
      </c>
      <c r="C87">
        <v>23.661438</v>
      </c>
      <c r="D87">
        <v>0</v>
      </c>
      <c r="E87">
        <v>0</v>
      </c>
      <c r="F87">
        <v>1</v>
      </c>
      <c r="G87">
        <v>0</v>
      </c>
      <c r="H87">
        <v>1</v>
      </c>
      <c r="I87">
        <v>0</v>
      </c>
      <c r="J87">
        <v>0</v>
      </c>
      <c r="K87">
        <v>0</v>
      </c>
      <c r="L87">
        <v>16.87</v>
      </c>
      <c r="M87">
        <v>16.46</v>
      </c>
      <c r="N87">
        <v>5.88</v>
      </c>
      <c r="O87">
        <v>2.8</v>
      </c>
      <c r="P87">
        <v>0.21</v>
      </c>
      <c r="Q87">
        <v>33.4</v>
      </c>
      <c r="R87">
        <v>3.95</v>
      </c>
    </row>
    <row r="88" spans="1:18">
      <c r="A88">
        <v>40</v>
      </c>
      <c r="B88">
        <v>0</v>
      </c>
      <c r="C88">
        <v>21.875</v>
      </c>
      <c r="D88">
        <v>0</v>
      </c>
      <c r="E88">
        <v>1</v>
      </c>
      <c r="F88">
        <v>0</v>
      </c>
      <c r="G88">
        <v>1</v>
      </c>
      <c r="H88">
        <v>1</v>
      </c>
      <c r="I88">
        <v>0</v>
      </c>
      <c r="J88">
        <v>0</v>
      </c>
      <c r="K88">
        <v>0</v>
      </c>
      <c r="L88">
        <v>58.7</v>
      </c>
      <c r="M88">
        <v>63.9</v>
      </c>
      <c r="N88">
        <v>239.38</v>
      </c>
      <c r="O88">
        <v>0.27</v>
      </c>
      <c r="P88">
        <v>0.16</v>
      </c>
      <c r="Q88">
        <v>30.24</v>
      </c>
      <c r="R88">
        <v>9.2899999999999991</v>
      </c>
    </row>
    <row r="89" spans="1:18">
      <c r="A89">
        <v>42</v>
      </c>
      <c r="B89">
        <v>0</v>
      </c>
      <c r="C89">
        <v>22.038567</v>
      </c>
      <c r="D89">
        <v>0</v>
      </c>
      <c r="E89">
        <v>1</v>
      </c>
      <c r="F89">
        <v>0</v>
      </c>
      <c r="G89">
        <v>1</v>
      </c>
      <c r="H89">
        <v>1</v>
      </c>
      <c r="I89">
        <v>0</v>
      </c>
      <c r="J89">
        <v>0</v>
      </c>
      <c r="K89">
        <v>0</v>
      </c>
      <c r="L89">
        <v>14</v>
      </c>
      <c r="M89">
        <v>8.34</v>
      </c>
      <c r="N89">
        <v>2.7</v>
      </c>
      <c r="O89">
        <v>3.09</v>
      </c>
      <c r="P89">
        <v>2.61</v>
      </c>
      <c r="Q89">
        <v>34.99</v>
      </c>
      <c r="R89">
        <v>2.44</v>
      </c>
    </row>
    <row r="90" spans="1:18">
      <c r="A90">
        <v>27</v>
      </c>
      <c r="B90">
        <v>1</v>
      </c>
      <c r="C90">
        <v>21.258503000000001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40.909999999999997</v>
      </c>
      <c r="M90">
        <v>84.11</v>
      </c>
      <c r="N90">
        <v>45.8</v>
      </c>
      <c r="O90">
        <v>1.84</v>
      </c>
      <c r="P90">
        <v>0.33</v>
      </c>
      <c r="Q90">
        <v>33.340000000000003</v>
      </c>
      <c r="R90">
        <v>4.46</v>
      </c>
    </row>
    <row r="91" spans="1:18">
      <c r="A91">
        <v>35</v>
      </c>
      <c r="B91">
        <v>1</v>
      </c>
      <c r="C91">
        <v>29.410758999999999</v>
      </c>
      <c r="D91">
        <v>0</v>
      </c>
      <c r="E91">
        <v>1</v>
      </c>
      <c r="F91">
        <v>1</v>
      </c>
      <c r="G91">
        <v>1</v>
      </c>
      <c r="H91">
        <v>1</v>
      </c>
      <c r="I91">
        <v>0</v>
      </c>
      <c r="J91">
        <v>0</v>
      </c>
      <c r="K91">
        <v>0</v>
      </c>
      <c r="L91">
        <v>39.5</v>
      </c>
      <c r="M91">
        <v>149.11000000000001</v>
      </c>
      <c r="N91">
        <v>15.7</v>
      </c>
      <c r="O91">
        <v>9.5</v>
      </c>
      <c r="P91">
        <v>0.34</v>
      </c>
      <c r="Q91">
        <v>31.73</v>
      </c>
      <c r="R91">
        <v>7.71</v>
      </c>
    </row>
    <row r="92" spans="1:18">
      <c r="A92">
        <v>36</v>
      </c>
      <c r="B92">
        <v>0</v>
      </c>
      <c r="C92">
        <v>30.449826999999999</v>
      </c>
      <c r="D92">
        <v>0</v>
      </c>
      <c r="E92">
        <v>0</v>
      </c>
      <c r="F92">
        <v>1</v>
      </c>
      <c r="G92">
        <v>0</v>
      </c>
      <c r="H92">
        <v>1</v>
      </c>
      <c r="I92">
        <v>0</v>
      </c>
      <c r="J92">
        <v>0</v>
      </c>
      <c r="K92">
        <v>0</v>
      </c>
      <c r="L92">
        <v>48.21</v>
      </c>
      <c r="M92">
        <v>70.849999999999994</v>
      </c>
      <c r="N92">
        <v>92.38</v>
      </c>
      <c r="O92">
        <v>0.77</v>
      </c>
      <c r="P92">
        <v>0.25</v>
      </c>
      <c r="Q92">
        <v>33.299999999999997</v>
      </c>
      <c r="R92">
        <v>7.22</v>
      </c>
    </row>
    <row r="93" spans="1:18">
      <c r="A93">
        <v>58</v>
      </c>
      <c r="B93">
        <v>1</v>
      </c>
      <c r="C93">
        <v>27.180900000000001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1</v>
      </c>
      <c r="K93">
        <v>0</v>
      </c>
      <c r="L93">
        <v>15.51</v>
      </c>
      <c r="M93">
        <v>1.94</v>
      </c>
      <c r="N93">
        <v>0.78</v>
      </c>
      <c r="O93">
        <v>2.48</v>
      </c>
      <c r="P93">
        <v>0.62</v>
      </c>
      <c r="Q93">
        <v>30.19</v>
      </c>
      <c r="R93">
        <v>1.71</v>
      </c>
    </row>
    <row r="94" spans="1:18">
      <c r="A94">
        <v>48</v>
      </c>
      <c r="B94">
        <v>1</v>
      </c>
      <c r="C94">
        <v>31.511500999999999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28.63</v>
      </c>
      <c r="M94">
        <v>23.6</v>
      </c>
      <c r="N94">
        <v>15.75</v>
      </c>
      <c r="O94">
        <v>1.5</v>
      </c>
      <c r="P94">
        <v>1</v>
      </c>
      <c r="Q94">
        <v>34.369999999999997</v>
      </c>
      <c r="R94">
        <v>2.04</v>
      </c>
    </row>
    <row r="95" spans="1:18">
      <c r="A95">
        <v>65</v>
      </c>
      <c r="B95">
        <v>0</v>
      </c>
      <c r="C95">
        <v>24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31.75</v>
      </c>
      <c r="M95">
        <v>27.09</v>
      </c>
      <c r="N95">
        <v>53.83</v>
      </c>
      <c r="O95">
        <v>0.5</v>
      </c>
      <c r="P95">
        <v>0.27</v>
      </c>
      <c r="Q95">
        <v>30.6</v>
      </c>
      <c r="R95">
        <v>4.51</v>
      </c>
    </row>
    <row r="96" spans="1:18">
      <c r="A96">
        <v>38</v>
      </c>
      <c r="B96">
        <v>1</v>
      </c>
      <c r="C96">
        <v>22.857143000000001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24.9</v>
      </c>
      <c r="M96">
        <v>46.44</v>
      </c>
      <c r="N96">
        <v>11.1</v>
      </c>
      <c r="O96">
        <v>4.18</v>
      </c>
      <c r="P96">
        <v>0.85</v>
      </c>
      <c r="Q96">
        <v>33.26</v>
      </c>
      <c r="R96">
        <v>7.9</v>
      </c>
    </row>
    <row r="97" spans="1:18">
      <c r="A97">
        <v>61</v>
      </c>
      <c r="B97">
        <v>0</v>
      </c>
      <c r="C97">
        <v>19.921875</v>
      </c>
      <c r="D97">
        <v>0</v>
      </c>
      <c r="E97">
        <v>1</v>
      </c>
      <c r="F97">
        <v>1</v>
      </c>
      <c r="G97">
        <v>0</v>
      </c>
      <c r="H97">
        <v>1</v>
      </c>
      <c r="I97">
        <v>0</v>
      </c>
      <c r="J97">
        <v>0</v>
      </c>
      <c r="K97">
        <v>0</v>
      </c>
      <c r="L97">
        <v>31.51</v>
      </c>
      <c r="M97">
        <v>30.52</v>
      </c>
      <c r="N97">
        <v>42.67</v>
      </c>
      <c r="O97">
        <v>0.72</v>
      </c>
      <c r="P97">
        <v>0.26</v>
      </c>
      <c r="Q97">
        <v>33.020000000000003</v>
      </c>
      <c r="R97">
        <v>5.42</v>
      </c>
    </row>
    <row r="98" spans="1:18">
      <c r="A98">
        <v>65</v>
      </c>
      <c r="B98">
        <v>0</v>
      </c>
      <c r="C98">
        <v>20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31.56</v>
      </c>
      <c r="M98">
        <v>57.47</v>
      </c>
      <c r="N98">
        <v>22.88</v>
      </c>
      <c r="O98">
        <v>2.5099999999999998</v>
      </c>
      <c r="P98">
        <v>0.27</v>
      </c>
      <c r="Q98">
        <v>32.19</v>
      </c>
      <c r="R98">
        <v>6.62</v>
      </c>
    </row>
    <row r="99" spans="1:18">
      <c r="A99">
        <v>22</v>
      </c>
      <c r="B99">
        <v>1</v>
      </c>
      <c r="C99">
        <v>19.883853999999999</v>
      </c>
      <c r="D99">
        <v>0</v>
      </c>
      <c r="E99">
        <v>1</v>
      </c>
      <c r="F99">
        <v>0</v>
      </c>
      <c r="G99">
        <v>1</v>
      </c>
      <c r="H99">
        <v>1</v>
      </c>
      <c r="I99">
        <v>0</v>
      </c>
      <c r="J99">
        <v>0</v>
      </c>
      <c r="K99">
        <v>0</v>
      </c>
      <c r="L99">
        <v>80.86</v>
      </c>
      <c r="M99">
        <v>116.66</v>
      </c>
      <c r="N99">
        <v>280.54000000000002</v>
      </c>
      <c r="O99">
        <v>0.42</v>
      </c>
      <c r="P99">
        <v>0.31</v>
      </c>
      <c r="Q99">
        <v>30.31</v>
      </c>
      <c r="R99">
        <v>10.62</v>
      </c>
    </row>
    <row r="100" spans="1:18">
      <c r="A100">
        <v>43</v>
      </c>
      <c r="B100">
        <v>1</v>
      </c>
      <c r="C100">
        <v>21.612812000000002</v>
      </c>
      <c r="D100">
        <v>0</v>
      </c>
      <c r="E100">
        <v>1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62.18</v>
      </c>
      <c r="M100">
        <v>42.17</v>
      </c>
      <c r="N100">
        <v>249.34</v>
      </c>
      <c r="O100">
        <v>0.17</v>
      </c>
      <c r="P100">
        <v>0.53</v>
      </c>
      <c r="Q100">
        <v>34.49</v>
      </c>
      <c r="R100">
        <v>14.38</v>
      </c>
    </row>
    <row r="101" spans="1:18">
      <c r="A101">
        <v>54</v>
      </c>
      <c r="B101">
        <v>1</v>
      </c>
      <c r="C101">
        <v>25.648917999999998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38.450000000000003</v>
      </c>
      <c r="M101">
        <v>76.86</v>
      </c>
      <c r="N101">
        <v>13.27</v>
      </c>
      <c r="O101">
        <v>5.79</v>
      </c>
      <c r="P101">
        <v>0.59</v>
      </c>
      <c r="Q101">
        <v>32.72</v>
      </c>
      <c r="R101">
        <v>4.79</v>
      </c>
    </row>
    <row r="102" spans="1:18">
      <c r="A102">
        <v>25</v>
      </c>
      <c r="B102">
        <v>0</v>
      </c>
      <c r="C102">
        <v>16.937033</v>
      </c>
      <c r="D102">
        <v>0</v>
      </c>
      <c r="E102">
        <v>1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79.62</v>
      </c>
      <c r="M102">
        <v>40.119999999999997</v>
      </c>
      <c r="N102">
        <v>39.56</v>
      </c>
      <c r="O102">
        <v>1.01</v>
      </c>
      <c r="P102">
        <v>0.41</v>
      </c>
      <c r="Q102">
        <v>33.61</v>
      </c>
      <c r="R102">
        <v>6.51</v>
      </c>
    </row>
    <row r="103" spans="1:18">
      <c r="A103">
        <v>52</v>
      </c>
      <c r="B103">
        <v>0</v>
      </c>
      <c r="C103">
        <v>23.883210999999999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</v>
      </c>
      <c r="J103">
        <v>1</v>
      </c>
      <c r="K103">
        <v>0</v>
      </c>
      <c r="L103">
        <v>43.17</v>
      </c>
      <c r="M103">
        <v>57.38</v>
      </c>
      <c r="N103">
        <v>95.32</v>
      </c>
      <c r="O103">
        <v>0.6</v>
      </c>
      <c r="P103">
        <v>0.18</v>
      </c>
      <c r="Q103">
        <v>31.1</v>
      </c>
      <c r="R103">
        <v>5.61</v>
      </c>
    </row>
    <row r="104" spans="1:18">
      <c r="A104">
        <v>35</v>
      </c>
      <c r="B104">
        <v>1</v>
      </c>
      <c r="C104">
        <v>18.253108999999998</v>
      </c>
      <c r="D104">
        <v>0</v>
      </c>
      <c r="E104">
        <v>1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53.21</v>
      </c>
      <c r="M104">
        <v>115.2</v>
      </c>
      <c r="N104">
        <v>106.84</v>
      </c>
      <c r="O104">
        <v>1.08</v>
      </c>
      <c r="P104">
        <v>0.28999999999999998</v>
      </c>
      <c r="Q104">
        <v>27.26</v>
      </c>
      <c r="R104">
        <v>5.15</v>
      </c>
    </row>
    <row r="105" spans="1:18">
      <c r="A105">
        <v>45</v>
      </c>
      <c r="B105">
        <v>0</v>
      </c>
      <c r="C105">
        <v>27.407658000000001</v>
      </c>
      <c r="D105">
        <v>0</v>
      </c>
      <c r="E105">
        <v>1</v>
      </c>
      <c r="F105">
        <v>1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26.51</v>
      </c>
      <c r="M105">
        <v>61.15</v>
      </c>
      <c r="N105">
        <v>21.95</v>
      </c>
      <c r="O105">
        <v>2.79</v>
      </c>
      <c r="P105">
        <v>0.65</v>
      </c>
      <c r="Q105">
        <v>29.37</v>
      </c>
      <c r="R105">
        <v>7.92</v>
      </c>
    </row>
    <row r="106" spans="1:18">
      <c r="A106">
        <v>22</v>
      </c>
      <c r="B106">
        <v>0</v>
      </c>
      <c r="C106">
        <v>27.407658000000001</v>
      </c>
      <c r="D106">
        <v>0</v>
      </c>
      <c r="E106">
        <v>1</v>
      </c>
      <c r="F106">
        <v>1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30.33</v>
      </c>
      <c r="M106">
        <v>27.43</v>
      </c>
      <c r="N106">
        <v>47.71</v>
      </c>
      <c r="O106">
        <v>0.56999999999999995</v>
      </c>
      <c r="P106">
        <v>0.28999999999999998</v>
      </c>
      <c r="Q106">
        <v>29.66</v>
      </c>
      <c r="R106">
        <v>5.54</v>
      </c>
    </row>
    <row r="107" spans="1:18">
      <c r="A107">
        <v>43</v>
      </c>
      <c r="B107">
        <v>0</v>
      </c>
      <c r="C107">
        <v>20.3125</v>
      </c>
      <c r="D107">
        <v>0</v>
      </c>
      <c r="E107">
        <v>1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64.680000000000007</v>
      </c>
      <c r="M107">
        <v>602.86</v>
      </c>
      <c r="N107">
        <v>67.61</v>
      </c>
      <c r="O107">
        <v>8.92</v>
      </c>
      <c r="P107">
        <v>0.56999999999999995</v>
      </c>
      <c r="Q107">
        <v>28.28</v>
      </c>
      <c r="R107">
        <v>12.63</v>
      </c>
    </row>
    <row r="108" spans="1:18">
      <c r="A108">
        <v>65</v>
      </c>
      <c r="B108">
        <v>0</v>
      </c>
      <c r="C108">
        <v>22.074100000000001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29.18</v>
      </c>
      <c r="M108">
        <v>56.88</v>
      </c>
      <c r="N108">
        <v>41.6</v>
      </c>
      <c r="O108">
        <v>1.37</v>
      </c>
      <c r="P108">
        <v>0.69</v>
      </c>
      <c r="Q108">
        <v>31.45</v>
      </c>
      <c r="R108">
        <v>7.35</v>
      </c>
    </row>
    <row r="109" spans="1:18">
      <c r="A109">
        <v>49</v>
      </c>
      <c r="B109">
        <v>0</v>
      </c>
      <c r="C109">
        <v>22.506926</v>
      </c>
      <c r="D109">
        <v>0</v>
      </c>
      <c r="E109">
        <v>1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55.96</v>
      </c>
      <c r="M109">
        <v>209.24</v>
      </c>
      <c r="N109">
        <v>56.58</v>
      </c>
      <c r="O109">
        <v>3.7</v>
      </c>
      <c r="P109">
        <v>0.23</v>
      </c>
      <c r="Q109">
        <v>31.34</v>
      </c>
      <c r="R109">
        <v>7.06</v>
      </c>
    </row>
    <row r="110" spans="1:18">
      <c r="A110">
        <v>68</v>
      </c>
      <c r="B110">
        <v>1</v>
      </c>
      <c r="C110">
        <v>20.040679999999998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20.56</v>
      </c>
      <c r="M110">
        <v>24.28</v>
      </c>
      <c r="N110">
        <v>4.5</v>
      </c>
      <c r="O110">
        <v>5.39</v>
      </c>
      <c r="P110">
        <v>0.14000000000000001</v>
      </c>
      <c r="Q110">
        <v>30.59</v>
      </c>
      <c r="R110">
        <v>1.93</v>
      </c>
    </row>
    <row r="111" spans="1:18">
      <c r="A111">
        <v>29</v>
      </c>
      <c r="B111">
        <v>0</v>
      </c>
      <c r="C111">
        <v>27.099250000000001</v>
      </c>
      <c r="D111">
        <v>0</v>
      </c>
      <c r="E111">
        <v>1</v>
      </c>
      <c r="F111">
        <v>1</v>
      </c>
      <c r="G111">
        <v>0</v>
      </c>
      <c r="H111">
        <v>0</v>
      </c>
      <c r="I111">
        <v>1</v>
      </c>
      <c r="J111">
        <v>1</v>
      </c>
      <c r="K111">
        <v>0</v>
      </c>
      <c r="L111">
        <v>8.64</v>
      </c>
      <c r="M111">
        <v>0.73</v>
      </c>
      <c r="N111">
        <v>0.27</v>
      </c>
      <c r="O111">
        <v>2.73</v>
      </c>
      <c r="P111">
        <v>0.79</v>
      </c>
      <c r="Q111">
        <v>32.520000000000003</v>
      </c>
      <c r="R111">
        <v>2.0299999999999998</v>
      </c>
    </row>
    <row r="112" spans="1:18">
      <c r="A112">
        <v>49</v>
      </c>
      <c r="B112">
        <v>0</v>
      </c>
      <c r="C112">
        <v>23.423556999999999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96.54</v>
      </c>
      <c r="M112">
        <v>631.22</v>
      </c>
      <c r="N112">
        <v>828.67</v>
      </c>
      <c r="O112">
        <v>0.76</v>
      </c>
      <c r="P112">
        <v>7.0000000000000007E-2</v>
      </c>
      <c r="Q112">
        <v>27.28</v>
      </c>
      <c r="R112">
        <v>8.0299999999999994</v>
      </c>
    </row>
    <row r="113" spans="1:18">
      <c r="A113">
        <v>36</v>
      </c>
      <c r="B113">
        <v>1</v>
      </c>
      <c r="C113">
        <v>20.598607999999999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48.34</v>
      </c>
      <c r="M113">
        <v>71.09</v>
      </c>
      <c r="N113">
        <v>45.92</v>
      </c>
      <c r="O113">
        <v>1.55</v>
      </c>
      <c r="P113">
        <v>0.6</v>
      </c>
      <c r="Q113">
        <v>26.49</v>
      </c>
      <c r="R113">
        <v>5.28</v>
      </c>
    </row>
    <row r="114" spans="1:18">
      <c r="A114">
        <v>30</v>
      </c>
      <c r="B114">
        <v>0</v>
      </c>
      <c r="C114">
        <v>21.192743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56.18</v>
      </c>
      <c r="M114">
        <v>235.82</v>
      </c>
      <c r="N114">
        <v>74.55</v>
      </c>
      <c r="O114">
        <v>3.16</v>
      </c>
      <c r="P114">
        <v>0.56000000000000005</v>
      </c>
      <c r="Q114">
        <v>30.35</v>
      </c>
      <c r="R114">
        <v>6.41</v>
      </c>
    </row>
    <row r="115" spans="1:18">
      <c r="A115">
        <v>57</v>
      </c>
      <c r="B115">
        <v>1</v>
      </c>
      <c r="C115">
        <v>22.038567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56.18</v>
      </c>
      <c r="M115">
        <v>235.82</v>
      </c>
      <c r="N115">
        <v>74.55</v>
      </c>
      <c r="O115">
        <v>3.16</v>
      </c>
      <c r="P115">
        <v>0.56000000000000005</v>
      </c>
      <c r="Q115">
        <v>30.35</v>
      </c>
      <c r="R115">
        <v>6.41</v>
      </c>
    </row>
    <row r="116" spans="1:18">
      <c r="A116">
        <v>60</v>
      </c>
      <c r="B116">
        <v>0</v>
      </c>
      <c r="C116">
        <v>22.862368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33.76</v>
      </c>
      <c r="M116">
        <v>10.92</v>
      </c>
      <c r="N116">
        <v>111.85</v>
      </c>
      <c r="O116">
        <v>0.1</v>
      </c>
      <c r="P116">
        <v>0.59</v>
      </c>
      <c r="Q116">
        <v>32.96</v>
      </c>
      <c r="R116">
        <v>5.14</v>
      </c>
    </row>
    <row r="117" spans="1:18">
      <c r="A117">
        <v>64</v>
      </c>
      <c r="B117">
        <v>0</v>
      </c>
      <c r="C117">
        <v>23.147255000000001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74.84</v>
      </c>
      <c r="M117">
        <v>431.38</v>
      </c>
      <c r="N117">
        <v>901.69</v>
      </c>
      <c r="O117">
        <v>0.48</v>
      </c>
      <c r="P117">
        <v>2.64</v>
      </c>
      <c r="Q117">
        <v>25.52</v>
      </c>
      <c r="R117">
        <v>6.3</v>
      </c>
    </row>
    <row r="118" spans="1:18">
      <c r="A118">
        <v>60</v>
      </c>
      <c r="B118">
        <v>0</v>
      </c>
      <c r="C118">
        <v>34.626820000000002</v>
      </c>
      <c r="D118">
        <v>0</v>
      </c>
      <c r="E118">
        <v>1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97.59</v>
      </c>
      <c r="M118">
        <v>270.88</v>
      </c>
      <c r="N118">
        <v>589.03</v>
      </c>
      <c r="O118">
        <v>0.46</v>
      </c>
      <c r="P118">
        <v>0.2</v>
      </c>
      <c r="Q118">
        <v>32.630000000000003</v>
      </c>
      <c r="R118">
        <v>3.93</v>
      </c>
    </row>
    <row r="119" spans="1:18">
      <c r="A119">
        <v>53</v>
      </c>
      <c r="B119">
        <v>0</v>
      </c>
      <c r="C119">
        <v>20.324438000000001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64.14</v>
      </c>
      <c r="M119">
        <v>183.42</v>
      </c>
      <c r="N119">
        <v>270.94</v>
      </c>
      <c r="O119">
        <v>0.68</v>
      </c>
      <c r="P119">
        <v>0.47</v>
      </c>
      <c r="Q119">
        <v>32.21</v>
      </c>
      <c r="R119">
        <v>9.84</v>
      </c>
    </row>
    <row r="120" spans="1:18">
      <c r="A120">
        <v>54</v>
      </c>
      <c r="B120">
        <v>1</v>
      </c>
      <c r="C120">
        <v>26.027581999999999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29</v>
      </c>
      <c r="M120">
        <v>27.24</v>
      </c>
      <c r="N120">
        <v>33.99</v>
      </c>
      <c r="O120">
        <v>0.8</v>
      </c>
      <c r="P120">
        <v>0.56000000000000005</v>
      </c>
      <c r="Q120">
        <v>33.99</v>
      </c>
      <c r="R120">
        <v>2.11</v>
      </c>
    </row>
    <row r="121" spans="1:18">
      <c r="A121">
        <v>64</v>
      </c>
      <c r="B121">
        <v>1</v>
      </c>
      <c r="C121">
        <v>19.335667000000001</v>
      </c>
      <c r="D121">
        <v>0</v>
      </c>
      <c r="E121">
        <v>1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129.93</v>
      </c>
      <c r="M121">
        <v>934.59</v>
      </c>
      <c r="N121">
        <v>873.27</v>
      </c>
      <c r="O121">
        <v>1.07</v>
      </c>
      <c r="P121">
        <v>0.41</v>
      </c>
      <c r="Q121">
        <v>23.39</v>
      </c>
      <c r="R121">
        <v>8.69</v>
      </c>
    </row>
    <row r="122" spans="1:18">
      <c r="A122">
        <v>63</v>
      </c>
      <c r="B122">
        <v>0</v>
      </c>
      <c r="C122">
        <v>22.832879999999999</v>
      </c>
      <c r="D122">
        <v>0</v>
      </c>
      <c r="E122">
        <v>1</v>
      </c>
      <c r="F122">
        <v>1</v>
      </c>
      <c r="G122">
        <v>0</v>
      </c>
      <c r="H122">
        <v>1</v>
      </c>
      <c r="I122">
        <v>1</v>
      </c>
      <c r="J122">
        <v>1</v>
      </c>
      <c r="K122">
        <v>0</v>
      </c>
      <c r="L122">
        <v>66.900000000000006</v>
      </c>
      <c r="M122">
        <v>269.23</v>
      </c>
      <c r="N122">
        <v>78.72</v>
      </c>
      <c r="O122">
        <v>3.42</v>
      </c>
      <c r="P122">
        <v>0.28999999999999998</v>
      </c>
      <c r="Q122">
        <v>26.23</v>
      </c>
      <c r="R122">
        <v>5.86</v>
      </c>
    </row>
    <row r="123" spans="1:18">
      <c r="A123">
        <v>42</v>
      </c>
      <c r="B123">
        <v>1</v>
      </c>
      <c r="C123">
        <v>24.258675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47.11</v>
      </c>
      <c r="M123">
        <v>150.36000000000001</v>
      </c>
      <c r="N123">
        <v>87.28</v>
      </c>
      <c r="O123">
        <v>1.72</v>
      </c>
      <c r="P123">
        <v>0.27</v>
      </c>
      <c r="Q123">
        <v>33.08</v>
      </c>
      <c r="R123">
        <v>6.1</v>
      </c>
    </row>
    <row r="124" spans="1:18">
      <c r="A124">
        <v>52</v>
      </c>
      <c r="B124">
        <v>0</v>
      </c>
      <c r="C124">
        <v>23.372575999999999</v>
      </c>
      <c r="D124">
        <v>0</v>
      </c>
      <c r="E124">
        <v>1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28.96</v>
      </c>
      <c r="M124">
        <v>54.57</v>
      </c>
      <c r="N124">
        <v>30.61</v>
      </c>
      <c r="O124">
        <v>1.78</v>
      </c>
      <c r="P124">
        <v>0.69</v>
      </c>
      <c r="Q124">
        <v>34.86</v>
      </c>
      <c r="R124">
        <v>4.75</v>
      </c>
    </row>
    <row r="125" spans="1:18">
      <c r="A125">
        <v>30</v>
      </c>
      <c r="B125">
        <v>1</v>
      </c>
      <c r="C125">
        <v>21.258503000000001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37.200000000000003</v>
      </c>
      <c r="M125">
        <v>45.13</v>
      </c>
      <c r="N125">
        <v>125.54</v>
      </c>
      <c r="O125">
        <v>0.36</v>
      </c>
      <c r="P125">
        <v>0.52</v>
      </c>
      <c r="Q125">
        <v>30.96</v>
      </c>
      <c r="R125">
        <v>7.61</v>
      </c>
    </row>
    <row r="126" spans="1:18">
      <c r="A126">
        <v>60</v>
      </c>
      <c r="B126">
        <v>0</v>
      </c>
      <c r="C126">
        <v>19.140625</v>
      </c>
      <c r="D126">
        <v>0</v>
      </c>
      <c r="E126">
        <v>0</v>
      </c>
      <c r="F126">
        <v>1</v>
      </c>
      <c r="G126">
        <v>0</v>
      </c>
      <c r="H126">
        <v>1</v>
      </c>
      <c r="I126">
        <v>0</v>
      </c>
      <c r="J126">
        <v>0</v>
      </c>
      <c r="K126">
        <v>1</v>
      </c>
      <c r="L126">
        <v>23.24</v>
      </c>
      <c r="M126">
        <v>21.26</v>
      </c>
      <c r="N126">
        <v>13.31</v>
      </c>
      <c r="O126">
        <v>1.6</v>
      </c>
      <c r="P126">
        <v>0.13</v>
      </c>
      <c r="Q126">
        <v>33.44</v>
      </c>
      <c r="R126">
        <v>2.73</v>
      </c>
    </row>
    <row r="127" spans="1:18">
      <c r="A127">
        <v>67</v>
      </c>
      <c r="B127">
        <v>0</v>
      </c>
      <c r="C127">
        <v>35.583103000000001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27.31</v>
      </c>
      <c r="M127">
        <v>67.86</v>
      </c>
      <c r="N127">
        <v>47.12</v>
      </c>
      <c r="O127">
        <v>1.44</v>
      </c>
      <c r="P127">
        <v>0.23</v>
      </c>
      <c r="Q127">
        <v>32.51</v>
      </c>
      <c r="R127">
        <v>3.84</v>
      </c>
    </row>
    <row r="128" spans="1:18">
      <c r="A128">
        <v>50</v>
      </c>
      <c r="B128">
        <v>1</v>
      </c>
      <c r="C128">
        <v>29.352353999999998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43.72</v>
      </c>
      <c r="M128">
        <v>61.12</v>
      </c>
      <c r="N128">
        <v>119.78</v>
      </c>
      <c r="O128">
        <v>0.51</v>
      </c>
      <c r="P128">
        <v>0.46</v>
      </c>
      <c r="Q128">
        <v>33.35</v>
      </c>
      <c r="R128">
        <v>3.78</v>
      </c>
    </row>
    <row r="129" spans="1:18">
      <c r="A129">
        <v>57</v>
      </c>
      <c r="B129">
        <v>0</v>
      </c>
      <c r="C129">
        <v>23.244595</v>
      </c>
      <c r="D129">
        <v>0</v>
      </c>
      <c r="E129">
        <v>1</v>
      </c>
      <c r="F129">
        <v>1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42.66</v>
      </c>
      <c r="M129">
        <v>27.71</v>
      </c>
      <c r="N129">
        <v>175.07</v>
      </c>
      <c r="O129">
        <v>0.16</v>
      </c>
      <c r="P129">
        <v>0.28999999999999998</v>
      </c>
      <c r="Q129">
        <v>33.200000000000003</v>
      </c>
      <c r="R129">
        <v>6.79</v>
      </c>
    </row>
    <row r="130" spans="1:18">
      <c r="A130">
        <v>69</v>
      </c>
      <c r="B130">
        <v>0</v>
      </c>
      <c r="C130">
        <v>20.3125</v>
      </c>
      <c r="D130">
        <v>0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22.6</v>
      </c>
      <c r="M130">
        <v>9.2200000000000006</v>
      </c>
      <c r="N130">
        <v>34.78</v>
      </c>
      <c r="O130">
        <v>0.27</v>
      </c>
      <c r="P130">
        <v>0.24</v>
      </c>
      <c r="Q130">
        <v>33.090000000000003</v>
      </c>
      <c r="R130">
        <v>3.83</v>
      </c>
    </row>
    <row r="131" spans="1:18">
      <c r="A131">
        <v>44</v>
      </c>
      <c r="B131">
        <v>0</v>
      </c>
      <c r="C131">
        <v>22.65625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27.96</v>
      </c>
      <c r="M131">
        <v>18.850000000000001</v>
      </c>
      <c r="N131">
        <v>12.76</v>
      </c>
      <c r="O131">
        <v>1.48</v>
      </c>
      <c r="P131">
        <v>0.79</v>
      </c>
      <c r="Q131">
        <v>28.71</v>
      </c>
      <c r="R131">
        <v>2.8</v>
      </c>
    </row>
    <row r="132" spans="1:18">
      <c r="A132">
        <v>47</v>
      </c>
      <c r="B132">
        <v>0</v>
      </c>
      <c r="C132">
        <v>19.473406000000001</v>
      </c>
      <c r="D132">
        <v>0</v>
      </c>
      <c r="E132">
        <v>1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54.37</v>
      </c>
      <c r="M132">
        <v>43.98</v>
      </c>
      <c r="N132">
        <v>260.95999999999998</v>
      </c>
      <c r="O132">
        <v>0.17</v>
      </c>
      <c r="P132">
        <v>0.4</v>
      </c>
      <c r="Q132">
        <v>31.69</v>
      </c>
      <c r="R132">
        <v>8.6999999999999993</v>
      </c>
    </row>
    <row r="133" spans="1:18">
      <c r="A133">
        <v>41</v>
      </c>
      <c r="B133">
        <v>1</v>
      </c>
      <c r="C133">
        <v>22.758306999999999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48.08</v>
      </c>
      <c r="M133">
        <v>109.07</v>
      </c>
      <c r="N133">
        <v>39.46</v>
      </c>
      <c r="O133">
        <v>2.76</v>
      </c>
      <c r="P133">
        <v>0.3</v>
      </c>
      <c r="Q133">
        <v>28.89</v>
      </c>
      <c r="R133">
        <v>7.19</v>
      </c>
    </row>
    <row r="134" spans="1:18">
      <c r="A134">
        <v>58</v>
      </c>
      <c r="B134">
        <v>0</v>
      </c>
      <c r="C134">
        <v>23.634032999999999</v>
      </c>
      <c r="D134">
        <v>0</v>
      </c>
      <c r="E134">
        <v>1</v>
      </c>
      <c r="F134">
        <v>0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32.03</v>
      </c>
      <c r="M134">
        <v>34.270000000000003</v>
      </c>
      <c r="N134">
        <v>61.61</v>
      </c>
      <c r="O134">
        <v>0.56000000000000005</v>
      </c>
      <c r="P134">
        <v>0.2</v>
      </c>
      <c r="Q134">
        <v>25.69</v>
      </c>
      <c r="R134">
        <v>4.79</v>
      </c>
    </row>
    <row r="135" spans="1:18">
      <c r="A135">
        <v>48</v>
      </c>
      <c r="B135">
        <v>0</v>
      </c>
      <c r="C135">
        <v>20.829996000000001</v>
      </c>
      <c r="D135">
        <v>0</v>
      </c>
      <c r="E135">
        <v>1</v>
      </c>
      <c r="F135">
        <v>0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28.78</v>
      </c>
      <c r="M135">
        <v>40.75</v>
      </c>
      <c r="N135">
        <v>49.54</v>
      </c>
      <c r="O135">
        <v>0.82</v>
      </c>
      <c r="P135">
        <v>0.43</v>
      </c>
      <c r="Q135">
        <v>34.57</v>
      </c>
      <c r="R135">
        <v>4.6399999999999997</v>
      </c>
    </row>
    <row r="136" spans="1:18">
      <c r="A136">
        <v>46</v>
      </c>
      <c r="B136">
        <v>0</v>
      </c>
      <c r="C136">
        <v>23.124669999999998</v>
      </c>
      <c r="D136">
        <v>0</v>
      </c>
      <c r="E136">
        <v>1</v>
      </c>
      <c r="F136">
        <v>1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45.51</v>
      </c>
      <c r="M136">
        <v>125.92</v>
      </c>
      <c r="N136">
        <v>85.85</v>
      </c>
      <c r="O136">
        <v>1.47</v>
      </c>
      <c r="P136">
        <v>0.24</v>
      </c>
      <c r="Q136">
        <v>33.17</v>
      </c>
      <c r="R136">
        <v>6.95</v>
      </c>
    </row>
    <row r="137" spans="1:18">
      <c r="A137">
        <v>24</v>
      </c>
      <c r="B137">
        <v>1</v>
      </c>
      <c r="C137">
        <v>21.366869000000001</v>
      </c>
      <c r="D137">
        <v>0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42.21</v>
      </c>
      <c r="M137">
        <v>73.09</v>
      </c>
      <c r="N137">
        <v>129.85</v>
      </c>
      <c r="O137">
        <v>0.56000000000000005</v>
      </c>
      <c r="P137">
        <v>0.7</v>
      </c>
      <c r="Q137">
        <v>30.7</v>
      </c>
      <c r="R137">
        <v>10.56</v>
      </c>
    </row>
    <row r="138" spans="1:18">
      <c r="A138">
        <v>60</v>
      </c>
      <c r="B138">
        <v>0</v>
      </c>
      <c r="C138">
        <v>21.504469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40.14</v>
      </c>
      <c r="M138">
        <v>63.15</v>
      </c>
      <c r="N138">
        <v>50.86</v>
      </c>
      <c r="O138">
        <v>1.24</v>
      </c>
      <c r="P138">
        <v>0.64</v>
      </c>
      <c r="Q138">
        <v>32.81</v>
      </c>
      <c r="R138">
        <v>7.49</v>
      </c>
    </row>
    <row r="139" spans="1:18">
      <c r="A139">
        <v>67</v>
      </c>
      <c r="B139">
        <v>0</v>
      </c>
      <c r="C139">
        <v>25.656769000000001</v>
      </c>
      <c r="D139">
        <v>0</v>
      </c>
      <c r="E139">
        <v>1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64.86</v>
      </c>
      <c r="M139">
        <v>118.48</v>
      </c>
      <c r="N139">
        <v>186.31</v>
      </c>
      <c r="O139">
        <v>0.64</v>
      </c>
      <c r="P139">
        <v>0.16</v>
      </c>
      <c r="Q139">
        <v>30.14</v>
      </c>
      <c r="R139">
        <v>5.05</v>
      </c>
    </row>
    <row r="140" spans="1:18">
      <c r="A140">
        <v>55</v>
      </c>
      <c r="B140">
        <v>0</v>
      </c>
      <c r="C140">
        <v>28.040379000000001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15.26</v>
      </c>
      <c r="M140">
        <v>7.42</v>
      </c>
      <c r="N140">
        <v>7.44</v>
      </c>
      <c r="O140">
        <v>1</v>
      </c>
      <c r="P140">
        <v>0.18</v>
      </c>
      <c r="Q140">
        <v>32.81</v>
      </c>
      <c r="R140">
        <v>2.98</v>
      </c>
    </row>
    <row r="141" spans="1:18">
      <c r="A141">
        <v>40</v>
      </c>
      <c r="B141">
        <v>1</v>
      </c>
      <c r="C141">
        <v>34.256053999999999</v>
      </c>
      <c r="D141">
        <v>0</v>
      </c>
      <c r="E141">
        <v>1</v>
      </c>
      <c r="F141">
        <v>0</v>
      </c>
      <c r="G141">
        <v>0</v>
      </c>
      <c r="H141">
        <v>1</v>
      </c>
      <c r="I141">
        <v>1</v>
      </c>
      <c r="J141">
        <v>0</v>
      </c>
      <c r="K141">
        <v>0</v>
      </c>
      <c r="L141">
        <v>41.63</v>
      </c>
      <c r="M141">
        <v>61.81</v>
      </c>
      <c r="N141">
        <v>110.9</v>
      </c>
      <c r="O141">
        <v>0.56000000000000005</v>
      </c>
      <c r="P141">
        <v>0.27</v>
      </c>
      <c r="Q141">
        <v>33.33</v>
      </c>
      <c r="R141">
        <v>4.17</v>
      </c>
    </row>
    <row r="142" spans="1:18">
      <c r="A142">
        <v>60</v>
      </c>
      <c r="B142">
        <v>0</v>
      </c>
      <c r="C142">
        <v>21.499597999999999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158.71</v>
      </c>
      <c r="M142">
        <v>1761.39</v>
      </c>
      <c r="N142">
        <v>2010.49</v>
      </c>
      <c r="O142">
        <v>0.88</v>
      </c>
      <c r="P142">
        <v>0.14000000000000001</v>
      </c>
      <c r="Q142">
        <v>29.34</v>
      </c>
      <c r="R142">
        <v>10.51</v>
      </c>
    </row>
    <row r="143" spans="1:18">
      <c r="A143">
        <v>57</v>
      </c>
      <c r="B143">
        <v>1</v>
      </c>
      <c r="C143">
        <v>23.198315000000001</v>
      </c>
      <c r="D143">
        <v>0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124.96</v>
      </c>
      <c r="M143">
        <v>470.89</v>
      </c>
      <c r="N143">
        <v>897.29</v>
      </c>
      <c r="O143">
        <v>0.52</v>
      </c>
      <c r="P143">
        <v>0.78</v>
      </c>
      <c r="Q143">
        <v>24.67</v>
      </c>
      <c r="R143">
        <v>14.25</v>
      </c>
    </row>
    <row r="144" spans="1:18">
      <c r="A144">
        <v>38</v>
      </c>
      <c r="B144">
        <v>0</v>
      </c>
      <c r="C144">
        <v>17.1875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217.39</v>
      </c>
      <c r="M144">
        <v>1645.93</v>
      </c>
      <c r="N144">
        <v>3123.03</v>
      </c>
      <c r="O144">
        <v>0.53</v>
      </c>
      <c r="P144">
        <v>0.21</v>
      </c>
      <c r="Q144">
        <v>32.130000000000003</v>
      </c>
      <c r="R144">
        <v>48.97</v>
      </c>
    </row>
    <row r="145" spans="1:18">
      <c r="A145">
        <v>55</v>
      </c>
      <c r="B145">
        <v>1</v>
      </c>
      <c r="C145">
        <v>18.778345000000002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21.51</v>
      </c>
      <c r="M145">
        <v>9.41</v>
      </c>
      <c r="N145">
        <v>11.23</v>
      </c>
      <c r="O145">
        <v>0.84</v>
      </c>
      <c r="P145">
        <v>0.51</v>
      </c>
      <c r="Q145">
        <v>33.75</v>
      </c>
      <c r="R145">
        <v>2.93</v>
      </c>
    </row>
    <row r="146" spans="1:18">
      <c r="A146">
        <v>64</v>
      </c>
      <c r="B146">
        <v>1</v>
      </c>
      <c r="C146">
        <v>31.644285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98.12</v>
      </c>
      <c r="M146">
        <v>404.17</v>
      </c>
      <c r="N146">
        <v>765.42</v>
      </c>
      <c r="O146">
        <v>0.53</v>
      </c>
      <c r="P146">
        <v>0.2</v>
      </c>
      <c r="Q146">
        <v>29.93</v>
      </c>
      <c r="R146">
        <v>12.59</v>
      </c>
    </row>
    <row r="147" spans="1:18">
      <c r="A147">
        <v>45</v>
      </c>
      <c r="B147">
        <v>1</v>
      </c>
      <c r="C147">
        <v>32.716050000000003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11.7</v>
      </c>
      <c r="M147">
        <v>4.91</v>
      </c>
      <c r="N147">
        <v>4.0199999999999996</v>
      </c>
      <c r="O147">
        <v>1.22</v>
      </c>
      <c r="P147">
        <v>0.25</v>
      </c>
      <c r="Q147">
        <v>32.409999999999997</v>
      </c>
      <c r="R147">
        <v>3.07</v>
      </c>
    </row>
    <row r="148" spans="1:18">
      <c r="A148">
        <v>50</v>
      </c>
      <c r="B148">
        <v>1</v>
      </c>
      <c r="C148">
        <v>25.249338000000002</v>
      </c>
      <c r="D148">
        <v>0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110.04</v>
      </c>
      <c r="M148">
        <v>905.43</v>
      </c>
      <c r="N148">
        <v>489.24</v>
      </c>
      <c r="O148">
        <v>1.85</v>
      </c>
      <c r="P148">
        <v>0.31</v>
      </c>
      <c r="Q148">
        <v>27.58</v>
      </c>
      <c r="R148">
        <v>21.62</v>
      </c>
    </row>
    <row r="149" spans="1:18">
      <c r="A149">
        <v>59</v>
      </c>
      <c r="B149">
        <v>1</v>
      </c>
      <c r="C149">
        <v>18.442544999999999</v>
      </c>
      <c r="D149">
        <v>0</v>
      </c>
      <c r="E149">
        <v>1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64.61</v>
      </c>
      <c r="M149">
        <v>145.1</v>
      </c>
      <c r="N149">
        <v>293.74</v>
      </c>
      <c r="O149">
        <v>0.49</v>
      </c>
      <c r="P149">
        <v>3.28</v>
      </c>
      <c r="Q149">
        <v>33.92</v>
      </c>
      <c r="R149">
        <v>14.77</v>
      </c>
    </row>
    <row r="150" spans="1:18">
      <c r="A150">
        <v>37</v>
      </c>
      <c r="B150">
        <v>1</v>
      </c>
      <c r="C150">
        <v>33.172600000000003</v>
      </c>
      <c r="D150">
        <v>0</v>
      </c>
      <c r="E150">
        <v>1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27.23</v>
      </c>
      <c r="M150">
        <v>51.33</v>
      </c>
      <c r="N150">
        <v>11.6</v>
      </c>
      <c r="O150">
        <v>4.42</v>
      </c>
      <c r="P150">
        <v>2.25</v>
      </c>
      <c r="Q150">
        <v>32.01</v>
      </c>
      <c r="R150">
        <v>4.99</v>
      </c>
    </row>
    <row r="151" spans="1:18">
      <c r="A151">
        <v>69</v>
      </c>
      <c r="B151">
        <v>1</v>
      </c>
      <c r="C151">
        <v>26.015865000000002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165.12</v>
      </c>
      <c r="M151">
        <v>1940.7</v>
      </c>
      <c r="N151">
        <v>822.29</v>
      </c>
      <c r="O151">
        <v>2.36</v>
      </c>
      <c r="P151">
        <v>0.17</v>
      </c>
      <c r="Q151">
        <v>25.58</v>
      </c>
      <c r="R151">
        <v>17.55</v>
      </c>
    </row>
    <row r="152" spans="1:18">
      <c r="A152">
        <v>61</v>
      </c>
      <c r="B152">
        <v>0</v>
      </c>
      <c r="C152">
        <v>21.218316999999999</v>
      </c>
      <c r="D152">
        <v>0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22.8</v>
      </c>
      <c r="M152">
        <v>16.2</v>
      </c>
      <c r="N152">
        <v>8.7799999999999994</v>
      </c>
      <c r="O152">
        <v>1.85</v>
      </c>
      <c r="P152">
        <v>0.21</v>
      </c>
      <c r="Q152">
        <v>34.159999999999997</v>
      </c>
      <c r="R152">
        <v>2.36</v>
      </c>
    </row>
    <row r="153" spans="1:18">
      <c r="A153">
        <v>29</v>
      </c>
      <c r="B153">
        <v>1</v>
      </c>
      <c r="C153">
        <v>24.302485999999998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49.56</v>
      </c>
      <c r="M153">
        <v>51.04</v>
      </c>
      <c r="N153">
        <v>142.91</v>
      </c>
      <c r="O153">
        <v>0.36</v>
      </c>
      <c r="P153">
        <v>0.56999999999999995</v>
      </c>
      <c r="Q153">
        <v>30.6</v>
      </c>
      <c r="R153">
        <v>9.17</v>
      </c>
    </row>
    <row r="154" spans="1:18">
      <c r="A154">
        <v>68</v>
      </c>
      <c r="B154">
        <v>0</v>
      </c>
      <c r="C154">
        <v>22.761467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102.81</v>
      </c>
      <c r="M154">
        <v>413.46</v>
      </c>
      <c r="N154">
        <v>633.24</v>
      </c>
      <c r="O154">
        <v>0.65</v>
      </c>
      <c r="P154">
        <v>0.47</v>
      </c>
      <c r="Q154">
        <v>31.89</v>
      </c>
      <c r="R154">
        <v>18.78</v>
      </c>
    </row>
    <row r="155" spans="1:18">
      <c r="A155">
        <v>22</v>
      </c>
      <c r="B155">
        <v>1</v>
      </c>
      <c r="C155">
        <v>26.446280999999999</v>
      </c>
      <c r="D155">
        <v>0</v>
      </c>
      <c r="E155">
        <v>1</v>
      </c>
      <c r="F155">
        <v>1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45.28</v>
      </c>
      <c r="M155">
        <v>142.72999999999999</v>
      </c>
      <c r="N155">
        <v>28.46</v>
      </c>
      <c r="O155">
        <v>5.0199999999999996</v>
      </c>
      <c r="P155">
        <v>1.31</v>
      </c>
      <c r="Q155">
        <v>33.020000000000003</v>
      </c>
      <c r="R155">
        <v>10.62</v>
      </c>
    </row>
    <row r="156" spans="1:18">
      <c r="A156">
        <v>21</v>
      </c>
      <c r="B156">
        <v>1</v>
      </c>
      <c r="C156">
        <v>23.4375</v>
      </c>
      <c r="D156">
        <v>0</v>
      </c>
      <c r="E156">
        <v>1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54.44</v>
      </c>
      <c r="M156">
        <v>173.95</v>
      </c>
      <c r="N156">
        <v>227.86</v>
      </c>
      <c r="O156">
        <v>0.76</v>
      </c>
      <c r="P156">
        <v>0.27</v>
      </c>
      <c r="Q156">
        <v>31.98</v>
      </c>
      <c r="R156">
        <v>5.51</v>
      </c>
    </row>
    <row r="157" spans="1:18">
      <c r="A157">
        <v>58</v>
      </c>
      <c r="B157">
        <v>0</v>
      </c>
      <c r="C157">
        <v>19.628264999999999</v>
      </c>
      <c r="D157">
        <v>0</v>
      </c>
      <c r="E157">
        <v>1</v>
      </c>
      <c r="F157">
        <v>0</v>
      </c>
      <c r="G157">
        <v>1</v>
      </c>
      <c r="H157">
        <v>1</v>
      </c>
      <c r="I157">
        <v>0</v>
      </c>
      <c r="J157">
        <v>0</v>
      </c>
      <c r="K157">
        <v>0</v>
      </c>
      <c r="L157">
        <v>44.39</v>
      </c>
      <c r="M157">
        <v>141.35</v>
      </c>
      <c r="N157">
        <v>39.340000000000003</v>
      </c>
      <c r="O157">
        <v>3.59</v>
      </c>
      <c r="P157">
        <v>0.68</v>
      </c>
      <c r="Q157">
        <v>30.37</v>
      </c>
      <c r="R157">
        <v>3.99</v>
      </c>
    </row>
    <row r="158" spans="1:18">
      <c r="A158">
        <v>35</v>
      </c>
      <c r="B158">
        <v>0</v>
      </c>
      <c r="C158">
        <v>19.227688000000001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53.58</v>
      </c>
      <c r="M158">
        <v>106.72</v>
      </c>
      <c r="N158">
        <v>223.75</v>
      </c>
      <c r="O158">
        <v>0.48</v>
      </c>
      <c r="P158">
        <v>0.24</v>
      </c>
      <c r="Q158">
        <v>32.549999999999997</v>
      </c>
      <c r="R158">
        <v>7.25</v>
      </c>
    </row>
    <row r="159" spans="1:18">
      <c r="A159">
        <v>47</v>
      </c>
      <c r="B159">
        <v>1</v>
      </c>
      <c r="C159">
        <v>23.355637000000002</v>
      </c>
      <c r="D159">
        <v>0</v>
      </c>
      <c r="E159">
        <v>1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31.34</v>
      </c>
      <c r="M159">
        <v>45.75</v>
      </c>
      <c r="N159">
        <v>60.73</v>
      </c>
      <c r="O159">
        <v>0.75</v>
      </c>
      <c r="P159">
        <v>0.15</v>
      </c>
      <c r="Q159">
        <v>30.27</v>
      </c>
      <c r="R159">
        <v>4.67</v>
      </c>
    </row>
    <row r="160" spans="1:18">
      <c r="A160">
        <v>57</v>
      </c>
      <c r="B160">
        <v>0</v>
      </c>
      <c r="C160">
        <v>26.897670000000002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24.18</v>
      </c>
      <c r="M160">
        <v>17.59</v>
      </c>
      <c r="N160">
        <v>42.29</v>
      </c>
      <c r="O160">
        <v>0.42</v>
      </c>
      <c r="P160">
        <v>0.39</v>
      </c>
      <c r="Q160">
        <v>34</v>
      </c>
      <c r="R160">
        <v>3.31</v>
      </c>
    </row>
    <row r="161" spans="1:18">
      <c r="A161">
        <v>67</v>
      </c>
      <c r="B161">
        <v>0</v>
      </c>
      <c r="C161">
        <v>23.495236999999999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28.86</v>
      </c>
      <c r="M161">
        <v>63.42</v>
      </c>
      <c r="N161">
        <v>62.33</v>
      </c>
      <c r="O161">
        <v>1.02</v>
      </c>
      <c r="P161">
        <v>0.43</v>
      </c>
      <c r="Q161">
        <v>32.729999999999997</v>
      </c>
      <c r="R161">
        <v>4.8899999999999997</v>
      </c>
    </row>
    <row r="162" spans="1:18">
      <c r="A162">
        <v>30</v>
      </c>
      <c r="B162">
        <v>1</v>
      </c>
      <c r="C162">
        <v>20.902386</v>
      </c>
      <c r="D162">
        <v>0</v>
      </c>
      <c r="E162">
        <v>1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72.48</v>
      </c>
      <c r="M162">
        <v>445.62</v>
      </c>
      <c r="N162">
        <v>180.56</v>
      </c>
      <c r="O162">
        <v>2.4700000000000002</v>
      </c>
      <c r="P162">
        <v>0.09</v>
      </c>
      <c r="Q162">
        <v>28.59</v>
      </c>
      <c r="R162">
        <v>5.34</v>
      </c>
    </row>
    <row r="163" spans="1:18">
      <c r="A163">
        <v>41</v>
      </c>
      <c r="B163">
        <v>0</v>
      </c>
      <c r="C163">
        <v>22.598611999999999</v>
      </c>
      <c r="D163">
        <v>0</v>
      </c>
      <c r="E163">
        <v>1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62.52</v>
      </c>
      <c r="M163">
        <v>364.84</v>
      </c>
      <c r="N163">
        <v>154.04</v>
      </c>
      <c r="O163">
        <v>2.37</v>
      </c>
      <c r="P163">
        <v>0.37</v>
      </c>
      <c r="Q163">
        <v>32.25</v>
      </c>
      <c r="R163">
        <v>11.63</v>
      </c>
    </row>
    <row r="164" spans="1:18">
      <c r="A164">
        <v>29</v>
      </c>
      <c r="B164">
        <v>0</v>
      </c>
      <c r="C164">
        <v>17.850622000000001</v>
      </c>
      <c r="D164">
        <v>0</v>
      </c>
      <c r="E164">
        <v>1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48.88</v>
      </c>
      <c r="M164">
        <v>82.89</v>
      </c>
      <c r="N164">
        <v>53.83</v>
      </c>
      <c r="O164">
        <v>1.54</v>
      </c>
      <c r="P164">
        <v>0.22</v>
      </c>
      <c r="Q164">
        <v>26.9</v>
      </c>
      <c r="R164">
        <v>7.09</v>
      </c>
    </row>
    <row r="165" spans="1:18">
      <c r="A165">
        <v>46</v>
      </c>
      <c r="B165">
        <v>0</v>
      </c>
      <c r="C165">
        <v>25.81663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26.06</v>
      </c>
      <c r="M165">
        <v>16.88</v>
      </c>
      <c r="N165">
        <v>11.75</v>
      </c>
      <c r="O165">
        <v>1.44</v>
      </c>
      <c r="P165">
        <v>0.73</v>
      </c>
      <c r="Q165">
        <v>32.46</v>
      </c>
      <c r="R165">
        <v>4.4000000000000004</v>
      </c>
    </row>
    <row r="166" spans="1:18">
      <c r="A166">
        <v>51</v>
      </c>
      <c r="B166">
        <v>0</v>
      </c>
      <c r="C166">
        <v>21.192743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27.56</v>
      </c>
      <c r="M166">
        <v>34.97</v>
      </c>
      <c r="N166">
        <v>52.56</v>
      </c>
      <c r="O166">
        <v>0.67</v>
      </c>
      <c r="P166">
        <v>1.32</v>
      </c>
      <c r="Q166">
        <v>28.74</v>
      </c>
      <c r="R166">
        <v>6.31</v>
      </c>
    </row>
    <row r="167" spans="1:18">
      <c r="A167">
        <v>67</v>
      </c>
      <c r="B167">
        <v>0</v>
      </c>
      <c r="C167">
        <v>21.829951999999999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</v>
      </c>
      <c r="J167">
        <v>0</v>
      </c>
      <c r="K167">
        <v>1</v>
      </c>
      <c r="L167">
        <v>77.099999999999994</v>
      </c>
      <c r="M167">
        <v>571.74</v>
      </c>
      <c r="N167">
        <v>197.03</v>
      </c>
      <c r="O167">
        <v>2.9</v>
      </c>
      <c r="P167">
        <v>0.24</v>
      </c>
      <c r="Q167">
        <v>33.18</v>
      </c>
      <c r="R167">
        <v>7.19</v>
      </c>
    </row>
    <row r="168" spans="1:18">
      <c r="A168">
        <v>57</v>
      </c>
      <c r="B168">
        <v>0</v>
      </c>
      <c r="C168">
        <v>17.527816999999999</v>
      </c>
      <c r="D168">
        <v>0</v>
      </c>
      <c r="E168">
        <v>1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0</v>
      </c>
      <c r="L168">
        <v>291.64</v>
      </c>
      <c r="M168">
        <v>3599.86</v>
      </c>
      <c r="N168">
        <v>5299.74</v>
      </c>
      <c r="O168">
        <v>0.68</v>
      </c>
      <c r="P168">
        <v>0.17</v>
      </c>
      <c r="Q168">
        <v>24.86</v>
      </c>
      <c r="R168">
        <v>52.29</v>
      </c>
    </row>
    <row r="169" spans="1:18">
      <c r="A169">
        <v>32</v>
      </c>
      <c r="B169">
        <v>0</v>
      </c>
      <c r="C169">
        <v>38.103946999999998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52.24</v>
      </c>
      <c r="M169">
        <v>22.69</v>
      </c>
      <c r="N169">
        <v>29.71</v>
      </c>
      <c r="O169">
        <v>0.76</v>
      </c>
      <c r="P169">
        <v>0.27</v>
      </c>
      <c r="Q169">
        <v>31.59</v>
      </c>
      <c r="R169">
        <v>6.78</v>
      </c>
    </row>
    <row r="170" spans="1:18">
      <c r="A170">
        <v>33</v>
      </c>
      <c r="B170">
        <v>0</v>
      </c>
      <c r="C170">
        <v>22.222221000000001</v>
      </c>
      <c r="D170">
        <v>0</v>
      </c>
      <c r="E170">
        <v>1</v>
      </c>
      <c r="F170">
        <v>0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204.49</v>
      </c>
      <c r="M170">
        <v>600.22</v>
      </c>
      <c r="N170">
        <v>2246.42</v>
      </c>
      <c r="O170">
        <v>0.27</v>
      </c>
      <c r="P170">
        <v>0.49</v>
      </c>
      <c r="Q170">
        <v>25.13</v>
      </c>
      <c r="R170">
        <v>33.119999999999997</v>
      </c>
    </row>
    <row r="171" spans="1:18">
      <c r="A171">
        <v>46</v>
      </c>
      <c r="B171">
        <v>1</v>
      </c>
      <c r="C171">
        <v>26.093274999999998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141.28</v>
      </c>
      <c r="M171">
        <v>992.08</v>
      </c>
      <c r="N171">
        <v>1570.62</v>
      </c>
      <c r="O171">
        <v>0.63</v>
      </c>
      <c r="P171">
        <v>0.64</v>
      </c>
      <c r="Q171">
        <v>29.32</v>
      </c>
      <c r="R171">
        <v>13.52</v>
      </c>
    </row>
    <row r="172" spans="1:18">
      <c r="A172">
        <v>50</v>
      </c>
      <c r="B172">
        <v>1</v>
      </c>
      <c r="C172">
        <v>26.027581999999999</v>
      </c>
      <c r="D172">
        <v>0</v>
      </c>
      <c r="E172">
        <v>1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172.86</v>
      </c>
      <c r="M172">
        <v>1430.8</v>
      </c>
      <c r="N172">
        <v>2033.43</v>
      </c>
      <c r="O172">
        <v>0.7</v>
      </c>
      <c r="P172">
        <v>0.19</v>
      </c>
      <c r="Q172">
        <v>33.409999999999997</v>
      </c>
      <c r="R172">
        <v>24.13</v>
      </c>
    </row>
    <row r="173" spans="1:18">
      <c r="A173">
        <v>50</v>
      </c>
      <c r="B173">
        <v>0</v>
      </c>
      <c r="C173">
        <v>17.898023999999999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173.58</v>
      </c>
      <c r="M173">
        <v>931.77</v>
      </c>
      <c r="N173">
        <v>1492.16</v>
      </c>
      <c r="O173">
        <v>0.62</v>
      </c>
      <c r="P173">
        <v>7.0000000000000007E-2</v>
      </c>
      <c r="Q173">
        <v>23.27</v>
      </c>
      <c r="R173">
        <v>29.29</v>
      </c>
    </row>
    <row r="174" spans="1:18">
      <c r="A174">
        <v>51</v>
      </c>
      <c r="B174">
        <v>1</v>
      </c>
      <c r="C174">
        <v>23.301093999999999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71.14</v>
      </c>
      <c r="M174">
        <v>219.27</v>
      </c>
      <c r="N174">
        <v>29.91</v>
      </c>
      <c r="O174">
        <v>7.33</v>
      </c>
      <c r="P174">
        <v>0.3</v>
      </c>
      <c r="Q174">
        <v>24.29</v>
      </c>
      <c r="R174">
        <v>12.51</v>
      </c>
    </row>
    <row r="175" spans="1:18">
      <c r="A175">
        <v>43</v>
      </c>
      <c r="B175">
        <v>1</v>
      </c>
      <c r="C175">
        <v>24.337479999999999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26.5</v>
      </c>
      <c r="M175">
        <v>22.91</v>
      </c>
      <c r="N175">
        <v>28.08</v>
      </c>
      <c r="O175">
        <v>0.82</v>
      </c>
      <c r="P175">
        <v>0.46</v>
      </c>
      <c r="Q175">
        <v>32.21</v>
      </c>
      <c r="R175">
        <v>3.25</v>
      </c>
    </row>
    <row r="176" spans="1:18">
      <c r="A176">
        <v>28</v>
      </c>
      <c r="B176">
        <v>0</v>
      </c>
      <c r="C176">
        <v>20.429418999999999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126.02</v>
      </c>
      <c r="M176">
        <v>1161.51</v>
      </c>
      <c r="N176">
        <v>811.13</v>
      </c>
      <c r="O176">
        <v>1.43</v>
      </c>
      <c r="P176">
        <v>0.2</v>
      </c>
      <c r="Q176">
        <v>30.64</v>
      </c>
      <c r="R176">
        <v>17.16</v>
      </c>
    </row>
    <row r="177" spans="1:18">
      <c r="A177">
        <v>31</v>
      </c>
      <c r="B177">
        <v>0</v>
      </c>
      <c r="C177">
        <v>22.13674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71.400000000000006</v>
      </c>
      <c r="M177">
        <v>192.71</v>
      </c>
      <c r="N177">
        <v>498.58</v>
      </c>
      <c r="O177">
        <v>0.39</v>
      </c>
      <c r="P177">
        <v>0.48</v>
      </c>
      <c r="Q177">
        <v>32.520000000000003</v>
      </c>
      <c r="R177">
        <v>10.83</v>
      </c>
    </row>
    <row r="178" spans="1:18">
      <c r="A178">
        <v>31</v>
      </c>
      <c r="B178">
        <v>0</v>
      </c>
      <c r="C178">
        <v>20.703125</v>
      </c>
      <c r="D178">
        <v>0</v>
      </c>
      <c r="E178">
        <v>1</v>
      </c>
      <c r="F178">
        <v>1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39.53</v>
      </c>
      <c r="M178">
        <v>51.44</v>
      </c>
      <c r="N178">
        <v>72.8</v>
      </c>
      <c r="O178">
        <v>0.71</v>
      </c>
      <c r="P178">
        <v>0.15</v>
      </c>
      <c r="Q178">
        <v>31.62</v>
      </c>
      <c r="R178">
        <v>6.59</v>
      </c>
    </row>
    <row r="179" spans="1:18">
      <c r="A179">
        <v>33</v>
      </c>
      <c r="B179">
        <v>0</v>
      </c>
      <c r="C179">
        <v>18.75</v>
      </c>
      <c r="D179">
        <v>0</v>
      </c>
      <c r="E179">
        <v>0</v>
      </c>
      <c r="F179">
        <v>0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31.08</v>
      </c>
      <c r="M179">
        <v>46.49</v>
      </c>
      <c r="N179">
        <v>14.05</v>
      </c>
      <c r="O179">
        <v>3.31</v>
      </c>
      <c r="P179">
        <v>0.5</v>
      </c>
      <c r="Q179">
        <v>32.5</v>
      </c>
      <c r="R179">
        <v>6.22</v>
      </c>
    </row>
    <row r="180" spans="1:18">
      <c r="A180">
        <v>41</v>
      </c>
      <c r="B180">
        <v>1</v>
      </c>
      <c r="C180">
        <v>31.652183999999998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54.1</v>
      </c>
      <c r="M180">
        <v>225.04</v>
      </c>
      <c r="N180">
        <v>35.28</v>
      </c>
      <c r="O180">
        <v>6.38</v>
      </c>
      <c r="P180">
        <v>0.16</v>
      </c>
      <c r="Q180">
        <v>33.340000000000003</v>
      </c>
      <c r="R180">
        <v>6.26</v>
      </c>
    </row>
    <row r="181" spans="1:18">
      <c r="A181">
        <v>38</v>
      </c>
      <c r="B181">
        <v>0</v>
      </c>
      <c r="C181">
        <v>19.227688000000001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42.41</v>
      </c>
      <c r="M181">
        <v>57.17</v>
      </c>
      <c r="N181">
        <v>92.26</v>
      </c>
      <c r="O181">
        <v>0.62</v>
      </c>
      <c r="P181">
        <v>0.26</v>
      </c>
      <c r="Q181">
        <v>30.71</v>
      </c>
      <c r="R181">
        <v>10.28</v>
      </c>
    </row>
    <row r="182" spans="1:18">
      <c r="A182">
        <v>38</v>
      </c>
      <c r="B182">
        <v>0</v>
      </c>
      <c r="C182">
        <v>24.776793999999999</v>
      </c>
      <c r="D182">
        <v>0</v>
      </c>
      <c r="E182">
        <v>1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51.76</v>
      </c>
      <c r="M182">
        <v>80.680000000000007</v>
      </c>
      <c r="N182">
        <v>214.84</v>
      </c>
      <c r="O182">
        <v>0.38</v>
      </c>
      <c r="P182">
        <v>0.73</v>
      </c>
      <c r="Q182">
        <v>32.74</v>
      </c>
      <c r="R182">
        <v>9.85</v>
      </c>
    </row>
    <row r="183" spans="1:18">
      <c r="A183">
        <v>29</v>
      </c>
      <c r="B183">
        <v>1</v>
      </c>
      <c r="C183">
        <v>25.099499999999999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41.1</v>
      </c>
      <c r="M183">
        <v>76.75</v>
      </c>
      <c r="N183">
        <v>123.8</v>
      </c>
      <c r="O183">
        <v>0.62</v>
      </c>
      <c r="P183">
        <v>1</v>
      </c>
      <c r="Q183">
        <v>1</v>
      </c>
      <c r="R183">
        <v>11.22</v>
      </c>
    </row>
    <row r="184" spans="1:18">
      <c r="A184">
        <v>41</v>
      </c>
      <c r="B184">
        <v>1</v>
      </c>
      <c r="C184">
        <v>26.149277000000001</v>
      </c>
      <c r="D184">
        <v>0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184.28</v>
      </c>
      <c r="M184">
        <v>1056.6300000000001</v>
      </c>
      <c r="N184">
        <v>1298.45</v>
      </c>
      <c r="O184">
        <v>0.81</v>
      </c>
      <c r="P184">
        <v>0.37</v>
      </c>
      <c r="Q184">
        <v>33.130000000000003</v>
      </c>
      <c r="R184">
        <v>24.48</v>
      </c>
    </row>
    <row r="185" spans="1:18">
      <c r="A185">
        <v>48</v>
      </c>
      <c r="B185">
        <v>1</v>
      </c>
      <c r="C185">
        <v>25.057359999999999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77.56</v>
      </c>
      <c r="M185">
        <v>314.77</v>
      </c>
      <c r="N185">
        <v>363.68</v>
      </c>
      <c r="O185">
        <v>0.87</v>
      </c>
      <c r="P185">
        <v>0.56999999999999995</v>
      </c>
      <c r="Q185">
        <v>32.31</v>
      </c>
      <c r="R185">
        <v>4.46</v>
      </c>
    </row>
    <row r="186" spans="1:18">
      <c r="A186">
        <v>55</v>
      </c>
      <c r="B186">
        <v>0</v>
      </c>
      <c r="C186">
        <v>20.202020000000001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</v>
      </c>
      <c r="J186">
        <v>0</v>
      </c>
      <c r="K186">
        <v>1</v>
      </c>
      <c r="L186">
        <v>30.64</v>
      </c>
      <c r="M186">
        <v>14.16</v>
      </c>
      <c r="N186">
        <v>11.03</v>
      </c>
      <c r="O186">
        <v>1.28</v>
      </c>
      <c r="P186">
        <v>0.32</v>
      </c>
      <c r="Q186">
        <v>26.56</v>
      </c>
      <c r="R186">
        <v>4.6900000000000004</v>
      </c>
    </row>
    <row r="187" spans="1:18">
      <c r="A187">
        <v>27</v>
      </c>
      <c r="B187">
        <v>1</v>
      </c>
      <c r="C187">
        <v>23.040019999999998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118.94</v>
      </c>
      <c r="M187">
        <v>129.4</v>
      </c>
      <c r="N187">
        <v>193.17</v>
      </c>
      <c r="O187">
        <v>0.67</v>
      </c>
      <c r="P187">
        <v>0.19</v>
      </c>
      <c r="Q187">
        <v>27.06</v>
      </c>
      <c r="R187">
        <v>6.55</v>
      </c>
    </row>
    <row r="188" spans="1:18">
      <c r="A188">
        <v>57</v>
      </c>
      <c r="B188">
        <v>0</v>
      </c>
      <c r="C188">
        <v>25.636917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28.24</v>
      </c>
      <c r="M188">
        <v>50.06</v>
      </c>
      <c r="N188">
        <v>33.56</v>
      </c>
      <c r="O188">
        <v>1.49</v>
      </c>
      <c r="P188">
        <v>0.45</v>
      </c>
      <c r="Q188">
        <v>32.840000000000003</v>
      </c>
      <c r="R188">
        <v>3.04</v>
      </c>
    </row>
    <row r="189" spans="1:18">
      <c r="A189">
        <v>38</v>
      </c>
      <c r="B189">
        <v>0</v>
      </c>
      <c r="C189">
        <v>24.653032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30.28</v>
      </c>
      <c r="M189">
        <v>24.83</v>
      </c>
      <c r="N189">
        <v>27.61</v>
      </c>
      <c r="O189">
        <v>0.9</v>
      </c>
      <c r="P189">
        <v>0.14000000000000001</v>
      </c>
      <c r="Q189">
        <v>29.59</v>
      </c>
      <c r="R189">
        <v>3.13</v>
      </c>
    </row>
    <row r="190" spans="1:18">
      <c r="A190">
        <v>42</v>
      </c>
      <c r="B190">
        <v>0</v>
      </c>
      <c r="C190">
        <v>21.936347999999999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31.37</v>
      </c>
      <c r="M190">
        <v>10.41</v>
      </c>
      <c r="N190">
        <v>63.94</v>
      </c>
      <c r="O190">
        <v>0.16</v>
      </c>
      <c r="P190">
        <v>0.83</v>
      </c>
      <c r="Q190">
        <v>28.99</v>
      </c>
      <c r="R190">
        <v>7.7</v>
      </c>
    </row>
    <row r="191" spans="1:18">
      <c r="A191">
        <v>23</v>
      </c>
      <c r="B191">
        <v>0</v>
      </c>
      <c r="C191">
        <v>16.796875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144.4</v>
      </c>
      <c r="M191">
        <v>545.97</v>
      </c>
      <c r="N191">
        <v>604.67999999999995</v>
      </c>
      <c r="O191">
        <v>0.9</v>
      </c>
      <c r="P191">
        <v>0.16</v>
      </c>
      <c r="Q191">
        <v>24.22</v>
      </c>
      <c r="R191">
        <v>13.44</v>
      </c>
    </row>
    <row r="192" spans="1:18">
      <c r="A192">
        <v>21</v>
      </c>
      <c r="B192">
        <v>0</v>
      </c>
      <c r="C192">
        <v>31.245236999999999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42.84</v>
      </c>
      <c r="M192">
        <v>40.06</v>
      </c>
      <c r="N192">
        <v>133.12</v>
      </c>
      <c r="O192">
        <v>0.3</v>
      </c>
      <c r="P192">
        <v>1.29</v>
      </c>
      <c r="Q192">
        <v>29.82</v>
      </c>
      <c r="R192">
        <v>10.34</v>
      </c>
    </row>
    <row r="193" spans="1:18">
      <c r="A193">
        <v>39</v>
      </c>
      <c r="B193">
        <v>0</v>
      </c>
      <c r="C193">
        <v>19.879103000000001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50.12</v>
      </c>
      <c r="M193">
        <v>59.39</v>
      </c>
      <c r="N193">
        <v>106.34</v>
      </c>
      <c r="O193">
        <v>0.56000000000000005</v>
      </c>
      <c r="P193">
        <v>1.42</v>
      </c>
      <c r="Q193">
        <v>31.23</v>
      </c>
      <c r="R193">
        <v>8.2799999999999994</v>
      </c>
    </row>
    <row r="194" spans="1:18">
      <c r="A194">
        <v>51</v>
      </c>
      <c r="B194">
        <v>0</v>
      </c>
      <c r="C194">
        <v>24.302485999999998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34.270000000000003</v>
      </c>
      <c r="M194">
        <v>23.15</v>
      </c>
      <c r="N194">
        <v>43.93</v>
      </c>
      <c r="O194">
        <v>0.53</v>
      </c>
      <c r="P194">
        <v>0.36</v>
      </c>
      <c r="Q194">
        <v>25.56</v>
      </c>
      <c r="R194">
        <v>3.36</v>
      </c>
    </row>
    <row r="195" spans="1:18">
      <c r="A195">
        <v>51</v>
      </c>
      <c r="B195">
        <v>1</v>
      </c>
      <c r="C195">
        <v>23.875114</v>
      </c>
      <c r="D195">
        <v>0</v>
      </c>
      <c r="E195">
        <v>1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53.01</v>
      </c>
      <c r="M195">
        <v>50.05</v>
      </c>
      <c r="N195">
        <v>132.47999999999999</v>
      </c>
      <c r="O195">
        <v>0.38</v>
      </c>
      <c r="P195">
        <v>0.96</v>
      </c>
      <c r="Q195">
        <v>21.06</v>
      </c>
      <c r="R195">
        <v>4.3099999999999996</v>
      </c>
    </row>
    <row r="196" spans="1:18">
      <c r="A196">
        <v>56</v>
      </c>
      <c r="B196">
        <v>1</v>
      </c>
      <c r="C196">
        <v>21.718064999999999</v>
      </c>
      <c r="D196">
        <v>0</v>
      </c>
      <c r="E196">
        <v>0</v>
      </c>
      <c r="F196">
        <v>1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35.119999999999997</v>
      </c>
      <c r="M196">
        <v>40.770000000000003</v>
      </c>
      <c r="N196">
        <v>85.94</v>
      </c>
      <c r="O196">
        <v>0.47</v>
      </c>
      <c r="P196">
        <v>0.85</v>
      </c>
      <c r="Q196">
        <v>31.26</v>
      </c>
      <c r="R196">
        <v>6.41</v>
      </c>
    </row>
    <row r="197" spans="1:18">
      <c r="A197">
        <v>52</v>
      </c>
      <c r="B197">
        <v>0</v>
      </c>
      <c r="C197">
        <v>24.088222999999999</v>
      </c>
      <c r="D197">
        <v>0</v>
      </c>
      <c r="E197">
        <v>1</v>
      </c>
      <c r="F197">
        <v>0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40.32</v>
      </c>
      <c r="M197">
        <v>39.01</v>
      </c>
      <c r="N197">
        <v>133.51</v>
      </c>
      <c r="O197">
        <v>0.28999999999999998</v>
      </c>
      <c r="P197">
        <v>1.44</v>
      </c>
      <c r="Q197">
        <v>33.5</v>
      </c>
      <c r="R197">
        <v>8.01</v>
      </c>
    </row>
    <row r="198" spans="1:18">
      <c r="A198">
        <v>37</v>
      </c>
      <c r="B198">
        <v>1</v>
      </c>
      <c r="C198">
        <v>25.605536000000001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1</v>
      </c>
      <c r="J198">
        <v>0</v>
      </c>
      <c r="K198">
        <v>0</v>
      </c>
      <c r="L198">
        <v>19.89</v>
      </c>
      <c r="M198">
        <v>12.82</v>
      </c>
      <c r="N198">
        <v>9.1199999999999992</v>
      </c>
      <c r="O198">
        <v>1.41</v>
      </c>
      <c r="P198">
        <v>0.18</v>
      </c>
      <c r="Q198">
        <v>30.59</v>
      </c>
      <c r="R198">
        <v>2.95</v>
      </c>
    </row>
    <row r="199" spans="1:18">
      <c r="A199">
        <v>58</v>
      </c>
      <c r="B199">
        <v>0</v>
      </c>
      <c r="C199">
        <v>21.829951999999999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365.67</v>
      </c>
      <c r="M199">
        <v>770.91</v>
      </c>
      <c r="N199">
        <v>1173.9100000000001</v>
      </c>
      <c r="O199">
        <v>0.66</v>
      </c>
      <c r="P199">
        <v>0.45</v>
      </c>
      <c r="Q199">
        <v>30.91</v>
      </c>
      <c r="R199">
        <v>45.25</v>
      </c>
    </row>
    <row r="200" spans="1:18">
      <c r="A200">
        <v>40</v>
      </c>
      <c r="B200">
        <v>0</v>
      </c>
      <c r="C200">
        <v>20.451843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27.64</v>
      </c>
      <c r="M200">
        <v>29.48</v>
      </c>
      <c r="N200">
        <v>16.5</v>
      </c>
      <c r="O200">
        <v>1.79</v>
      </c>
      <c r="P200">
        <v>0.27</v>
      </c>
      <c r="Q200">
        <v>31.16</v>
      </c>
      <c r="R200">
        <v>5.42</v>
      </c>
    </row>
    <row r="201" spans="1:18">
      <c r="A201">
        <v>63</v>
      </c>
      <c r="B201">
        <v>0</v>
      </c>
      <c r="C201">
        <v>24.21875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14.02</v>
      </c>
      <c r="M201">
        <v>8.52</v>
      </c>
      <c r="N201">
        <v>11.22</v>
      </c>
      <c r="O201">
        <v>0.76</v>
      </c>
      <c r="P201">
        <v>0.83</v>
      </c>
      <c r="Q201">
        <v>32.9</v>
      </c>
      <c r="R201">
        <v>5.09</v>
      </c>
    </row>
    <row r="202" spans="1:18">
      <c r="A202">
        <v>23</v>
      </c>
      <c r="B202">
        <v>0</v>
      </c>
      <c r="C202">
        <v>22.832879999999999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55.64</v>
      </c>
      <c r="M202">
        <v>82.3</v>
      </c>
      <c r="N202">
        <v>293.79000000000002</v>
      </c>
      <c r="O202">
        <v>0.28000000000000003</v>
      </c>
      <c r="P202">
        <v>0.56999999999999995</v>
      </c>
      <c r="Q202">
        <v>22.85</v>
      </c>
      <c r="R202">
        <v>12.05</v>
      </c>
    </row>
    <row r="203" spans="1:18">
      <c r="A203">
        <v>30</v>
      </c>
      <c r="B203">
        <v>1</v>
      </c>
      <c r="C203">
        <v>22.675737000000002</v>
      </c>
      <c r="D203">
        <v>0</v>
      </c>
      <c r="E203">
        <v>1</v>
      </c>
      <c r="F203">
        <v>0</v>
      </c>
      <c r="G203">
        <v>1</v>
      </c>
      <c r="H203">
        <v>1</v>
      </c>
      <c r="I203">
        <v>0</v>
      </c>
      <c r="J203">
        <v>0</v>
      </c>
      <c r="K203">
        <v>0</v>
      </c>
      <c r="L203">
        <v>39.74</v>
      </c>
      <c r="M203">
        <v>138.58000000000001</v>
      </c>
      <c r="N203">
        <v>40.04</v>
      </c>
      <c r="O203">
        <v>3.46</v>
      </c>
      <c r="P203">
        <v>1.89</v>
      </c>
      <c r="Q203">
        <v>29.08</v>
      </c>
      <c r="R203">
        <v>8.0399999999999991</v>
      </c>
    </row>
    <row r="204" spans="1:18">
      <c r="A204">
        <v>30</v>
      </c>
      <c r="B204">
        <v>1</v>
      </c>
      <c r="C204">
        <v>21.977350000000001</v>
      </c>
      <c r="D204">
        <v>0</v>
      </c>
      <c r="E204">
        <v>1</v>
      </c>
      <c r="F204">
        <v>1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25.54</v>
      </c>
      <c r="M204">
        <v>29.47</v>
      </c>
      <c r="N204">
        <v>21.54</v>
      </c>
      <c r="O204">
        <v>1.37</v>
      </c>
      <c r="P204">
        <v>0.43</v>
      </c>
      <c r="Q204">
        <v>30.04</v>
      </c>
      <c r="R204">
        <v>4.5599999999999996</v>
      </c>
    </row>
    <row r="205" spans="1:18">
      <c r="A205">
        <v>37</v>
      </c>
      <c r="B205">
        <v>0</v>
      </c>
      <c r="C205">
        <v>25.951557000000001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25.87</v>
      </c>
      <c r="M205">
        <v>31.33</v>
      </c>
      <c r="N205">
        <v>18.7</v>
      </c>
      <c r="O205">
        <v>1.68</v>
      </c>
      <c r="P205">
        <v>0.34</v>
      </c>
      <c r="Q205">
        <v>31.64</v>
      </c>
      <c r="R205">
        <v>3.1</v>
      </c>
    </row>
    <row r="206" spans="1:18">
      <c r="A206">
        <v>37</v>
      </c>
      <c r="B206">
        <v>0</v>
      </c>
      <c r="C206">
        <v>21.453572999999999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14.67</v>
      </c>
      <c r="M206">
        <v>8.83</v>
      </c>
      <c r="N206">
        <v>1.61</v>
      </c>
      <c r="O206">
        <v>5.47</v>
      </c>
      <c r="P206">
        <v>0.43</v>
      </c>
      <c r="Q206">
        <v>32.270000000000003</v>
      </c>
      <c r="R206">
        <v>3.65</v>
      </c>
    </row>
    <row r="207" spans="1:18">
      <c r="A207">
        <v>46</v>
      </c>
      <c r="B207">
        <v>0</v>
      </c>
      <c r="C207">
        <v>21.829951999999999</v>
      </c>
      <c r="D207">
        <v>0</v>
      </c>
      <c r="E207">
        <v>1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36.33</v>
      </c>
      <c r="M207">
        <v>65.41</v>
      </c>
      <c r="N207">
        <v>50.12</v>
      </c>
      <c r="O207">
        <v>1.31</v>
      </c>
      <c r="P207">
        <v>0.16</v>
      </c>
      <c r="Q207">
        <v>31.91</v>
      </c>
      <c r="R207">
        <v>4.1100000000000003</v>
      </c>
    </row>
    <row r="208" spans="1:18">
      <c r="A208">
        <v>21</v>
      </c>
      <c r="B208">
        <v>1</v>
      </c>
      <c r="C208">
        <v>30.864197000000001</v>
      </c>
      <c r="D208">
        <v>0</v>
      </c>
      <c r="E208">
        <v>0</v>
      </c>
      <c r="F208">
        <v>0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53.87</v>
      </c>
      <c r="M208">
        <v>119.18</v>
      </c>
      <c r="N208">
        <v>187.85</v>
      </c>
      <c r="O208">
        <v>0.63</v>
      </c>
      <c r="P208">
        <v>0.56000000000000005</v>
      </c>
      <c r="Q208">
        <v>33.21</v>
      </c>
      <c r="R208">
        <v>9.4600000000000009</v>
      </c>
    </row>
    <row r="209" spans="1:18">
      <c r="A209">
        <v>57</v>
      </c>
      <c r="B209">
        <v>0</v>
      </c>
      <c r="C209">
        <v>20.134779000000002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23.82</v>
      </c>
      <c r="M209">
        <v>14.13</v>
      </c>
      <c r="N209">
        <v>15.8</v>
      </c>
      <c r="O209">
        <v>0.89</v>
      </c>
      <c r="P209">
        <v>0.56000000000000005</v>
      </c>
      <c r="Q209">
        <v>31.21</v>
      </c>
      <c r="R209">
        <v>4.2300000000000004</v>
      </c>
    </row>
    <row r="210" spans="1:18">
      <c r="A210">
        <v>43</v>
      </c>
      <c r="B210">
        <v>0</v>
      </c>
      <c r="C210">
        <v>23.833003999999999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128.18</v>
      </c>
      <c r="M210">
        <v>644.09</v>
      </c>
      <c r="N210">
        <v>648.4</v>
      </c>
      <c r="O210">
        <v>0.99</v>
      </c>
      <c r="P210">
        <v>0.52</v>
      </c>
      <c r="Q210">
        <v>31.38</v>
      </c>
      <c r="R210">
        <v>15.08</v>
      </c>
    </row>
    <row r="211" spans="1:18">
      <c r="A211">
        <v>52</v>
      </c>
      <c r="B211">
        <v>0</v>
      </c>
      <c r="C211">
        <v>21.333334000000001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108.27</v>
      </c>
      <c r="M211">
        <v>625.77</v>
      </c>
      <c r="N211">
        <v>141.87</v>
      </c>
      <c r="O211">
        <v>4.41</v>
      </c>
      <c r="P211">
        <v>0.09</v>
      </c>
      <c r="Q211">
        <v>25.79</v>
      </c>
      <c r="R211">
        <v>7.37</v>
      </c>
    </row>
    <row r="212" spans="1:18">
      <c r="A212">
        <v>22</v>
      </c>
      <c r="B212">
        <v>0</v>
      </c>
      <c r="C212">
        <v>17.898023999999999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27.65</v>
      </c>
      <c r="M212">
        <v>41.22</v>
      </c>
      <c r="N212">
        <v>45.88</v>
      </c>
      <c r="O212">
        <v>0.9</v>
      </c>
      <c r="P212">
        <v>0.43</v>
      </c>
      <c r="Q212">
        <v>28.38</v>
      </c>
      <c r="R212">
        <v>6.29</v>
      </c>
    </row>
    <row r="213" spans="1:18">
      <c r="A213">
        <v>45</v>
      </c>
      <c r="B213">
        <v>0</v>
      </c>
      <c r="C213">
        <v>19.53125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85.96</v>
      </c>
      <c r="M213">
        <v>56.34</v>
      </c>
      <c r="N213">
        <v>793.54</v>
      </c>
      <c r="O213">
        <v>7.0000000000000007E-2</v>
      </c>
      <c r="P213">
        <v>0.24</v>
      </c>
      <c r="Q213">
        <v>31.72</v>
      </c>
      <c r="R213">
        <v>14.05</v>
      </c>
    </row>
    <row r="214" spans="1:18">
      <c r="A214">
        <v>38</v>
      </c>
      <c r="B214">
        <v>0</v>
      </c>
      <c r="C214">
        <v>22.476586999999999</v>
      </c>
      <c r="D214">
        <v>0</v>
      </c>
      <c r="E214">
        <v>0</v>
      </c>
      <c r="F214">
        <v>1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56.79</v>
      </c>
      <c r="M214">
        <v>118.96</v>
      </c>
      <c r="N214">
        <v>221.34</v>
      </c>
      <c r="O214">
        <v>0.54</v>
      </c>
      <c r="P214">
        <v>0.18</v>
      </c>
      <c r="Q214">
        <v>28.08</v>
      </c>
      <c r="R214">
        <v>6.06</v>
      </c>
    </row>
    <row r="215" spans="1:18">
      <c r="A215">
        <v>66</v>
      </c>
      <c r="B215">
        <v>1</v>
      </c>
      <c r="C215">
        <v>25.765713000000002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40.28</v>
      </c>
      <c r="M215">
        <v>224.56</v>
      </c>
      <c r="N215">
        <v>81.599999999999994</v>
      </c>
      <c r="O215">
        <v>2.75</v>
      </c>
      <c r="P215">
        <v>0.24</v>
      </c>
      <c r="Q215">
        <v>31.44</v>
      </c>
      <c r="R215">
        <v>8.16</v>
      </c>
    </row>
    <row r="216" spans="1:18">
      <c r="A216">
        <v>40</v>
      </c>
      <c r="B216">
        <v>0</v>
      </c>
      <c r="C216">
        <v>19.921875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21.66</v>
      </c>
      <c r="M216">
        <v>52.7</v>
      </c>
      <c r="N216">
        <v>9.27</v>
      </c>
      <c r="O216">
        <v>5.68</v>
      </c>
      <c r="P216">
        <v>0.75</v>
      </c>
      <c r="Q216">
        <v>29.36</v>
      </c>
      <c r="R216">
        <v>5</v>
      </c>
    </row>
    <row r="217" spans="1:18">
      <c r="A217">
        <v>38</v>
      </c>
      <c r="B217">
        <v>1</v>
      </c>
      <c r="C217">
        <v>24.151672000000001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53.51</v>
      </c>
      <c r="M217">
        <v>103.62</v>
      </c>
      <c r="N217">
        <v>306.35000000000002</v>
      </c>
      <c r="O217">
        <v>0.34</v>
      </c>
      <c r="P217">
        <v>0.44</v>
      </c>
      <c r="Q217">
        <v>34.6</v>
      </c>
      <c r="R217">
        <v>5.03</v>
      </c>
    </row>
    <row r="218" spans="1:18">
      <c r="A218">
        <v>23</v>
      </c>
      <c r="B218">
        <v>1</v>
      </c>
      <c r="C218">
        <v>18.827159999999999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38.22</v>
      </c>
      <c r="M218">
        <v>84.2</v>
      </c>
      <c r="N218">
        <v>104.36</v>
      </c>
      <c r="O218">
        <v>0.81</v>
      </c>
      <c r="P218">
        <v>0.33</v>
      </c>
      <c r="Q218">
        <v>30.11</v>
      </c>
      <c r="R218">
        <v>8.32</v>
      </c>
    </row>
    <row r="219" spans="1:18">
      <c r="A219">
        <v>26</v>
      </c>
      <c r="B219">
        <v>1</v>
      </c>
      <c r="C219">
        <v>21.258503000000001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32.14</v>
      </c>
      <c r="M219">
        <v>19.600000000000001</v>
      </c>
      <c r="N219">
        <v>31.95</v>
      </c>
      <c r="O219">
        <v>0.61</v>
      </c>
      <c r="P219">
        <v>0.4</v>
      </c>
      <c r="Q219">
        <v>29.29</v>
      </c>
      <c r="R219">
        <v>6.4</v>
      </c>
    </row>
    <row r="220" spans="1:18">
      <c r="A220">
        <v>27</v>
      </c>
      <c r="B220">
        <v>0</v>
      </c>
      <c r="C220">
        <v>19.909973000000001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75.959999999999994</v>
      </c>
      <c r="M220">
        <v>125.99</v>
      </c>
      <c r="N220">
        <v>621.04</v>
      </c>
      <c r="O220">
        <v>0.2</v>
      </c>
      <c r="P220">
        <v>0.19</v>
      </c>
      <c r="Q220">
        <v>31.27</v>
      </c>
      <c r="R220">
        <v>12.4</v>
      </c>
    </row>
    <row r="221" spans="1:18">
      <c r="A221">
        <v>60</v>
      </c>
      <c r="B221">
        <v>1</v>
      </c>
      <c r="C221">
        <v>25.099499999999999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41.68</v>
      </c>
      <c r="M221">
        <v>39.51</v>
      </c>
      <c r="N221">
        <v>102.17</v>
      </c>
      <c r="O221">
        <v>0.39</v>
      </c>
      <c r="P221">
        <v>0.45</v>
      </c>
      <c r="Q221">
        <v>34.26</v>
      </c>
      <c r="R221">
        <v>8.35</v>
      </c>
    </row>
    <row r="222" spans="1:18">
      <c r="A222">
        <v>57</v>
      </c>
      <c r="B222">
        <v>0</v>
      </c>
      <c r="C222">
        <v>23.243407999999999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20.58</v>
      </c>
      <c r="M222">
        <v>15.38</v>
      </c>
      <c r="N222">
        <v>4.5</v>
      </c>
      <c r="O222">
        <v>3.42</v>
      </c>
      <c r="P222">
        <v>0.57999999999999996</v>
      </c>
      <c r="Q222">
        <v>33.28</v>
      </c>
      <c r="R222">
        <v>2.12</v>
      </c>
    </row>
    <row r="223" spans="1:18">
      <c r="A223">
        <v>42</v>
      </c>
      <c r="B223">
        <v>0</v>
      </c>
      <c r="C223">
        <v>25.065746000000001</v>
      </c>
      <c r="D223">
        <v>0</v>
      </c>
      <c r="E223">
        <v>0</v>
      </c>
      <c r="F223">
        <v>0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70.87</v>
      </c>
      <c r="M223">
        <v>117.36</v>
      </c>
      <c r="N223">
        <v>241.12</v>
      </c>
      <c r="O223">
        <v>0.49</v>
      </c>
      <c r="P223">
        <v>0.48</v>
      </c>
      <c r="Q223">
        <v>30.72</v>
      </c>
      <c r="R223">
        <v>5.0999999999999996</v>
      </c>
    </row>
    <row r="224" spans="1:18">
      <c r="A224">
        <v>22</v>
      </c>
      <c r="B224">
        <v>0</v>
      </c>
      <c r="C224">
        <v>18.73049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43.58</v>
      </c>
      <c r="M224">
        <v>60.72</v>
      </c>
      <c r="N224">
        <v>196.65</v>
      </c>
      <c r="O224">
        <v>0.31</v>
      </c>
      <c r="P224">
        <v>0.31</v>
      </c>
      <c r="Q224">
        <v>32.42</v>
      </c>
      <c r="R224">
        <v>10.47</v>
      </c>
    </row>
    <row r="225" spans="1:18">
      <c r="A225">
        <v>58</v>
      </c>
      <c r="B225">
        <v>1</v>
      </c>
      <c r="C225">
        <v>29.410734000000001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19.260000000000002</v>
      </c>
      <c r="M225">
        <v>34.479999999999997</v>
      </c>
      <c r="N225">
        <v>5.07</v>
      </c>
      <c r="O225">
        <v>6.8</v>
      </c>
      <c r="P225">
        <v>0.49</v>
      </c>
      <c r="Q225">
        <v>33.880000000000003</v>
      </c>
      <c r="R225">
        <v>2.17</v>
      </c>
    </row>
    <row r="226" spans="1:18">
      <c r="A226">
        <v>41</v>
      </c>
      <c r="B226">
        <v>0</v>
      </c>
      <c r="C226">
        <v>19.433014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120.72</v>
      </c>
      <c r="M226">
        <v>966.65</v>
      </c>
      <c r="N226">
        <v>1049.33</v>
      </c>
      <c r="O226">
        <v>0.92</v>
      </c>
      <c r="P226">
        <v>0.19</v>
      </c>
      <c r="Q226">
        <v>30.22</v>
      </c>
      <c r="R226">
        <v>12.93</v>
      </c>
    </row>
    <row r="227" spans="1:18">
      <c r="A227">
        <v>35</v>
      </c>
      <c r="B227">
        <v>0</v>
      </c>
      <c r="C227">
        <v>18.75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40.590000000000003</v>
      </c>
      <c r="M227">
        <v>14.93</v>
      </c>
      <c r="N227">
        <v>61.81</v>
      </c>
      <c r="O227">
        <v>0.24</v>
      </c>
      <c r="P227">
        <v>0.24</v>
      </c>
      <c r="Q227">
        <v>24.43</v>
      </c>
      <c r="R227">
        <v>12.11</v>
      </c>
    </row>
    <row r="228" spans="1:18">
      <c r="A228">
        <v>25</v>
      </c>
      <c r="B228">
        <v>1</v>
      </c>
      <c r="C228">
        <v>26.573129999999999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28.55</v>
      </c>
      <c r="M228">
        <v>83.57</v>
      </c>
      <c r="N228">
        <v>40.270000000000003</v>
      </c>
      <c r="O228">
        <v>2.08</v>
      </c>
      <c r="P228">
        <v>0.28000000000000003</v>
      </c>
      <c r="Q228">
        <v>34.24</v>
      </c>
      <c r="R228">
        <v>5.78</v>
      </c>
    </row>
    <row r="229" spans="1:18">
      <c r="A229">
        <v>54</v>
      </c>
      <c r="B229">
        <v>0</v>
      </c>
      <c r="C229">
        <v>19.628264999999999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19.600000000000001</v>
      </c>
      <c r="M229">
        <v>14.22</v>
      </c>
      <c r="N229">
        <v>28.05</v>
      </c>
      <c r="O229">
        <v>0.51</v>
      </c>
      <c r="P229">
        <v>0.22</v>
      </c>
      <c r="Q229">
        <v>29.58</v>
      </c>
      <c r="R229">
        <v>3.6</v>
      </c>
    </row>
    <row r="230" spans="1:18">
      <c r="A230">
        <v>26</v>
      </c>
      <c r="B230">
        <v>1</v>
      </c>
      <c r="C230">
        <v>23.661438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30.86</v>
      </c>
      <c r="M230">
        <v>34.409999999999997</v>
      </c>
      <c r="N230">
        <v>17.93</v>
      </c>
      <c r="O230">
        <v>1.92</v>
      </c>
      <c r="P230">
        <v>0.84</v>
      </c>
      <c r="Q230">
        <v>31.82</v>
      </c>
      <c r="R230">
        <v>4.43</v>
      </c>
    </row>
    <row r="231" spans="1:18">
      <c r="A231">
        <v>20</v>
      </c>
      <c r="B231">
        <v>0</v>
      </c>
      <c r="C231">
        <v>19.433014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65.95</v>
      </c>
      <c r="M231">
        <v>150.07</v>
      </c>
      <c r="N231">
        <v>276.62</v>
      </c>
      <c r="O231">
        <v>0.54</v>
      </c>
      <c r="P231">
        <v>1.94</v>
      </c>
      <c r="Q231">
        <v>28.95</v>
      </c>
      <c r="R231">
        <v>13.42</v>
      </c>
    </row>
    <row r="232" spans="1:18">
      <c r="A232">
        <v>55</v>
      </c>
      <c r="B232">
        <v>0</v>
      </c>
      <c r="C232">
        <v>27.434843000000001</v>
      </c>
      <c r="D232">
        <v>0</v>
      </c>
      <c r="E232">
        <v>0</v>
      </c>
      <c r="F232">
        <v>1</v>
      </c>
      <c r="G232">
        <v>1</v>
      </c>
      <c r="H232">
        <v>0</v>
      </c>
      <c r="I232">
        <v>1</v>
      </c>
      <c r="J232">
        <v>0</v>
      </c>
      <c r="K232">
        <v>0</v>
      </c>
      <c r="L232">
        <v>26.03</v>
      </c>
      <c r="M232">
        <v>40.28</v>
      </c>
      <c r="N232">
        <v>13.84</v>
      </c>
      <c r="O232">
        <v>2.91</v>
      </c>
      <c r="P232">
        <v>0.2</v>
      </c>
      <c r="Q232">
        <v>31.37</v>
      </c>
      <c r="R232">
        <v>2.6</v>
      </c>
    </row>
    <row r="233" spans="1:18">
      <c r="A233">
        <v>48</v>
      </c>
      <c r="B233">
        <v>0</v>
      </c>
      <c r="C233">
        <v>19.654018000000001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22.99</v>
      </c>
      <c r="M233">
        <v>22.71</v>
      </c>
      <c r="N233">
        <v>20.14</v>
      </c>
      <c r="O233">
        <v>1.1299999999999999</v>
      </c>
      <c r="P233">
        <v>0.26</v>
      </c>
      <c r="Q233">
        <v>25.77</v>
      </c>
      <c r="R233">
        <v>5.62</v>
      </c>
    </row>
    <row r="234" spans="1:18">
      <c r="A234">
        <v>51</v>
      </c>
      <c r="B234">
        <v>0</v>
      </c>
      <c r="C234">
        <v>25.995913000000002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1</v>
      </c>
      <c r="L234">
        <v>285.17</v>
      </c>
      <c r="M234">
        <v>1890.98</v>
      </c>
      <c r="N234">
        <v>6730.83</v>
      </c>
      <c r="O234">
        <v>0.28000000000000003</v>
      </c>
      <c r="P234">
        <v>0.25</v>
      </c>
      <c r="Q234">
        <v>33.18</v>
      </c>
      <c r="R234">
        <v>35.18</v>
      </c>
    </row>
    <row r="235" spans="1:18">
      <c r="A235">
        <v>56</v>
      </c>
      <c r="B235">
        <v>0</v>
      </c>
      <c r="C235">
        <v>19.979189000000002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36.69</v>
      </c>
      <c r="M235">
        <v>50.71</v>
      </c>
      <c r="N235">
        <v>39.19</v>
      </c>
      <c r="O235">
        <v>1.29</v>
      </c>
      <c r="P235">
        <v>0.42</v>
      </c>
      <c r="Q235">
        <v>26.76</v>
      </c>
      <c r="R235">
        <v>3.37</v>
      </c>
    </row>
    <row r="236" spans="1:18">
      <c r="A236">
        <v>26</v>
      </c>
      <c r="B236">
        <v>0</v>
      </c>
      <c r="C236">
        <v>28.763971000000002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40.35</v>
      </c>
      <c r="M236">
        <v>79.650000000000006</v>
      </c>
      <c r="N236">
        <v>47.16</v>
      </c>
      <c r="O236">
        <v>1.69</v>
      </c>
      <c r="P236">
        <v>0.87</v>
      </c>
      <c r="Q236">
        <v>35.07</v>
      </c>
      <c r="R236">
        <v>7.92</v>
      </c>
    </row>
    <row r="237" spans="1:18">
      <c r="A237">
        <v>55</v>
      </c>
      <c r="B237">
        <v>1</v>
      </c>
      <c r="C237">
        <v>23.836735000000001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22.29</v>
      </c>
      <c r="M237">
        <v>25.16</v>
      </c>
      <c r="N237">
        <v>6.08</v>
      </c>
      <c r="O237">
        <v>4.1399999999999997</v>
      </c>
      <c r="P237">
        <v>0.28000000000000003</v>
      </c>
      <c r="Q237">
        <v>29.73</v>
      </c>
      <c r="R237">
        <v>3.14</v>
      </c>
    </row>
    <row r="238" spans="1:18">
      <c r="A238">
        <v>39</v>
      </c>
      <c r="B238">
        <v>0</v>
      </c>
      <c r="C238">
        <v>28.685144000000001</v>
      </c>
      <c r="D238">
        <v>0</v>
      </c>
      <c r="E238">
        <v>0</v>
      </c>
      <c r="F238">
        <v>1</v>
      </c>
      <c r="G238">
        <v>1</v>
      </c>
      <c r="H238">
        <v>0</v>
      </c>
      <c r="I238">
        <v>1</v>
      </c>
      <c r="J238">
        <v>0</v>
      </c>
      <c r="K238">
        <v>1</v>
      </c>
      <c r="L238">
        <v>23.63</v>
      </c>
      <c r="M238">
        <v>10.14</v>
      </c>
      <c r="N238">
        <v>23.49</v>
      </c>
      <c r="O238">
        <v>0.43</v>
      </c>
      <c r="P238">
        <v>0.32</v>
      </c>
      <c r="Q238">
        <v>32.53</v>
      </c>
      <c r="R238">
        <v>3.98</v>
      </c>
    </row>
    <row r="239" spans="1:18">
      <c r="A239">
        <v>30</v>
      </c>
      <c r="B239">
        <v>0</v>
      </c>
      <c r="C239">
        <v>18.339099999999998</v>
      </c>
      <c r="D239">
        <v>0</v>
      </c>
      <c r="E239">
        <v>0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45.12</v>
      </c>
      <c r="M239">
        <v>49.78</v>
      </c>
      <c r="N239">
        <v>60.13</v>
      </c>
      <c r="O239">
        <v>0.83</v>
      </c>
      <c r="P239">
        <v>0.8</v>
      </c>
      <c r="Q239">
        <v>30.1</v>
      </c>
      <c r="R239">
        <v>6.75</v>
      </c>
    </row>
    <row r="240" spans="1:18">
      <c r="A240">
        <v>44</v>
      </c>
      <c r="B240">
        <v>1</v>
      </c>
      <c r="C240">
        <v>25.148605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46.27</v>
      </c>
      <c r="M240">
        <v>98.22</v>
      </c>
      <c r="N240">
        <v>105.8</v>
      </c>
      <c r="O240">
        <v>0.93</v>
      </c>
      <c r="P240">
        <v>0.59</v>
      </c>
      <c r="Q240">
        <v>32.76</v>
      </c>
      <c r="R240">
        <v>4.5</v>
      </c>
    </row>
    <row r="241" spans="1:18">
      <c r="A241">
        <v>22</v>
      </c>
      <c r="B241">
        <v>0</v>
      </c>
      <c r="C241">
        <v>21.501885999999999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26.51</v>
      </c>
      <c r="M241">
        <v>16.37</v>
      </c>
      <c r="N241">
        <v>32.03</v>
      </c>
      <c r="O241">
        <v>0.51</v>
      </c>
      <c r="P241">
        <v>0.28000000000000003</v>
      </c>
      <c r="Q241">
        <v>34.89</v>
      </c>
      <c r="R241">
        <v>4.2</v>
      </c>
    </row>
    <row r="242" spans="1:18">
      <c r="A242">
        <v>27</v>
      </c>
      <c r="B242">
        <v>1</v>
      </c>
      <c r="C242">
        <v>21.967120999999999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179.29</v>
      </c>
      <c r="M242">
        <v>1133.19</v>
      </c>
      <c r="N242">
        <v>1795.76</v>
      </c>
      <c r="O242">
        <v>0.63</v>
      </c>
      <c r="P242">
        <v>0.59</v>
      </c>
      <c r="Q242">
        <v>33.54</v>
      </c>
      <c r="R242">
        <v>16.940000000000001</v>
      </c>
    </row>
    <row r="243" spans="1:18">
      <c r="A243">
        <v>27</v>
      </c>
      <c r="B243">
        <v>1</v>
      </c>
      <c r="C243">
        <v>27.548210000000001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43.82</v>
      </c>
      <c r="M243">
        <v>77.48</v>
      </c>
      <c r="N243">
        <v>91.5</v>
      </c>
      <c r="O243">
        <v>0.85</v>
      </c>
      <c r="P243">
        <v>0.39</v>
      </c>
      <c r="Q243">
        <v>32.18</v>
      </c>
      <c r="R243">
        <v>7.37</v>
      </c>
    </row>
    <row r="244" spans="1:18">
      <c r="A244">
        <v>65</v>
      </c>
      <c r="B244">
        <v>1</v>
      </c>
      <c r="C244">
        <v>21.989892999999999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1</v>
      </c>
      <c r="K244">
        <v>1</v>
      </c>
      <c r="L244">
        <v>31.22</v>
      </c>
      <c r="M244">
        <v>31.43</v>
      </c>
      <c r="N244">
        <v>87.26</v>
      </c>
      <c r="O244">
        <v>0.36</v>
      </c>
      <c r="P244">
        <v>0.21</v>
      </c>
      <c r="Q244">
        <v>28.75</v>
      </c>
      <c r="R244">
        <v>3.47</v>
      </c>
    </row>
    <row r="245" spans="1:18">
      <c r="A245">
        <v>33</v>
      </c>
      <c r="B245">
        <v>1</v>
      </c>
      <c r="C245">
        <v>26.989619999999999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164.76</v>
      </c>
      <c r="M245">
        <v>846.63</v>
      </c>
      <c r="N245">
        <v>857.35</v>
      </c>
      <c r="O245">
        <v>0.99</v>
      </c>
      <c r="P245">
        <v>0.73</v>
      </c>
      <c r="Q245">
        <v>32.840000000000003</v>
      </c>
      <c r="R245">
        <v>19.72</v>
      </c>
    </row>
    <row r="246" spans="1:18">
      <c r="A246">
        <v>37</v>
      </c>
      <c r="B246">
        <v>0</v>
      </c>
      <c r="C246">
        <v>25.203980999999999</v>
      </c>
      <c r="D246">
        <v>0</v>
      </c>
      <c r="E246">
        <v>0</v>
      </c>
      <c r="F246">
        <v>1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42.78</v>
      </c>
      <c r="M246">
        <v>75.53</v>
      </c>
      <c r="N246">
        <v>59.84</v>
      </c>
      <c r="O246">
        <v>1.26</v>
      </c>
      <c r="P246">
        <v>0.48</v>
      </c>
      <c r="Q246">
        <v>32.15</v>
      </c>
      <c r="R246">
        <v>6.99</v>
      </c>
    </row>
    <row r="247" spans="1:18">
      <c r="A247">
        <v>61</v>
      </c>
      <c r="B247">
        <v>1</v>
      </c>
      <c r="C247">
        <v>22.100290000000001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107.64</v>
      </c>
      <c r="M247">
        <v>32.18</v>
      </c>
      <c r="N247">
        <v>55.82</v>
      </c>
      <c r="O247">
        <v>0.57999999999999996</v>
      </c>
      <c r="P247">
        <v>0.69</v>
      </c>
      <c r="Q247">
        <v>31.82</v>
      </c>
      <c r="R247">
        <v>6.49</v>
      </c>
    </row>
    <row r="248" spans="1:18">
      <c r="A248">
        <v>28</v>
      </c>
      <c r="B248">
        <v>0</v>
      </c>
      <c r="C248">
        <v>29.031790000000001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233.19</v>
      </c>
      <c r="M248">
        <v>1026.03</v>
      </c>
      <c r="N248">
        <v>3003.99</v>
      </c>
      <c r="O248">
        <v>0.34</v>
      </c>
      <c r="P248">
        <v>1.52</v>
      </c>
      <c r="Q248">
        <v>34.47</v>
      </c>
      <c r="R248">
        <v>80.709999999999994</v>
      </c>
    </row>
    <row r="249" spans="1:18">
      <c r="A249">
        <v>28</v>
      </c>
      <c r="B249">
        <v>0</v>
      </c>
      <c r="C249">
        <v>17.419073000000001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173.18</v>
      </c>
      <c r="M249">
        <v>519.66</v>
      </c>
      <c r="N249">
        <v>530.54</v>
      </c>
      <c r="O249">
        <v>0.98</v>
      </c>
      <c r="P249">
        <v>0.3</v>
      </c>
      <c r="Q249">
        <v>27.16</v>
      </c>
      <c r="R249">
        <v>23.89</v>
      </c>
    </row>
    <row r="250" spans="1:18">
      <c r="A250">
        <v>55</v>
      </c>
      <c r="B250">
        <v>0</v>
      </c>
      <c r="C250">
        <v>27.016860000000001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79.66</v>
      </c>
      <c r="M250">
        <v>252.82</v>
      </c>
      <c r="N250">
        <v>488.4</v>
      </c>
      <c r="O250">
        <v>0.52</v>
      </c>
      <c r="P250">
        <v>0.52</v>
      </c>
      <c r="Q250">
        <v>33.4</v>
      </c>
      <c r="R250">
        <v>18.84</v>
      </c>
    </row>
    <row r="251" spans="1:18">
      <c r="A251">
        <v>58</v>
      </c>
      <c r="B251">
        <v>0</v>
      </c>
      <c r="C251">
        <v>20.957273000000001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23.04</v>
      </c>
      <c r="M251">
        <v>31.33</v>
      </c>
      <c r="N251">
        <v>44.11</v>
      </c>
      <c r="O251">
        <v>0.71</v>
      </c>
      <c r="P251">
        <v>0.15</v>
      </c>
      <c r="Q251">
        <v>28.12</v>
      </c>
      <c r="R251">
        <v>1.18</v>
      </c>
    </row>
    <row r="252" spans="1:18">
      <c r="A252">
        <v>27</v>
      </c>
      <c r="B252">
        <v>1</v>
      </c>
      <c r="C252">
        <v>26.173832000000001</v>
      </c>
      <c r="D252">
        <v>0</v>
      </c>
      <c r="E252">
        <v>0</v>
      </c>
      <c r="F252">
        <v>0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58.33</v>
      </c>
      <c r="M252">
        <v>303.06</v>
      </c>
      <c r="N252">
        <v>90.16</v>
      </c>
      <c r="O252">
        <v>3.36</v>
      </c>
      <c r="P252">
        <v>2.2200000000000002</v>
      </c>
      <c r="Q252">
        <v>28.65</v>
      </c>
      <c r="R252">
        <v>12.38</v>
      </c>
    </row>
    <row r="253" spans="1:18">
      <c r="A253">
        <v>21</v>
      </c>
      <c r="B253">
        <v>1</v>
      </c>
      <c r="C253">
        <v>24.391058000000001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72.14</v>
      </c>
      <c r="M253">
        <v>120.43</v>
      </c>
      <c r="N253">
        <v>352.28</v>
      </c>
      <c r="O253">
        <v>0.34</v>
      </c>
      <c r="P253">
        <v>0.33</v>
      </c>
      <c r="Q253">
        <v>33.619999999999997</v>
      </c>
      <c r="R253">
        <v>8.34</v>
      </c>
    </row>
    <row r="254" spans="1:18">
      <c r="A254">
        <v>23</v>
      </c>
      <c r="B254">
        <v>1</v>
      </c>
      <c r="C254">
        <v>24.89706</v>
      </c>
      <c r="D254">
        <v>0</v>
      </c>
      <c r="E254">
        <v>0</v>
      </c>
      <c r="F254">
        <v>1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48.05</v>
      </c>
      <c r="M254">
        <v>77.37</v>
      </c>
      <c r="N254">
        <v>144.63999999999999</v>
      </c>
      <c r="O254">
        <v>0.53</v>
      </c>
      <c r="P254">
        <v>0.53</v>
      </c>
      <c r="Q254">
        <v>31.3</v>
      </c>
      <c r="R254">
        <v>5.89</v>
      </c>
    </row>
    <row r="255" spans="1:18">
      <c r="A255">
        <v>55</v>
      </c>
      <c r="B255">
        <v>1</v>
      </c>
      <c r="C255">
        <v>20.703125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20.07</v>
      </c>
      <c r="M255">
        <v>7.85</v>
      </c>
      <c r="N255">
        <v>19.309999999999999</v>
      </c>
      <c r="O255">
        <v>0.41</v>
      </c>
      <c r="P255">
        <v>0.28000000000000003</v>
      </c>
      <c r="Q255">
        <v>30.6</v>
      </c>
      <c r="R255">
        <v>7.37</v>
      </c>
    </row>
    <row r="256" spans="1:18">
      <c r="A256">
        <v>46</v>
      </c>
      <c r="B256">
        <v>0</v>
      </c>
      <c r="C256">
        <v>20.504933999999999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203.72</v>
      </c>
      <c r="M256">
        <v>1833.06</v>
      </c>
      <c r="N256">
        <v>2592.83</v>
      </c>
      <c r="O256">
        <v>0.71</v>
      </c>
      <c r="P256">
        <v>0.22</v>
      </c>
      <c r="Q256">
        <v>30.11</v>
      </c>
      <c r="R256">
        <v>35.630000000000003</v>
      </c>
    </row>
    <row r="257" spans="1:18">
      <c r="A257">
        <v>63</v>
      </c>
      <c r="B257">
        <v>1</v>
      </c>
      <c r="C257">
        <v>23.671253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294.89</v>
      </c>
      <c r="M257">
        <v>4962.93</v>
      </c>
      <c r="N257">
        <v>6129.72</v>
      </c>
      <c r="O257">
        <v>0.81</v>
      </c>
      <c r="P257">
        <v>0.72</v>
      </c>
      <c r="Q257">
        <v>30.94</v>
      </c>
      <c r="R257">
        <v>23.4</v>
      </c>
    </row>
    <row r="258" spans="1:18">
      <c r="A258">
        <v>48</v>
      </c>
      <c r="B258">
        <v>0</v>
      </c>
      <c r="C258">
        <v>28.685144000000001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123.37</v>
      </c>
      <c r="M258">
        <v>505.38</v>
      </c>
      <c r="N258">
        <v>701.31</v>
      </c>
      <c r="O258">
        <v>0.72</v>
      </c>
      <c r="P258">
        <v>0.28000000000000003</v>
      </c>
      <c r="Q258">
        <v>33.270000000000003</v>
      </c>
      <c r="R258">
        <v>15.12</v>
      </c>
    </row>
    <row r="259" spans="1:18">
      <c r="A259">
        <v>42</v>
      </c>
      <c r="B259">
        <v>1</v>
      </c>
      <c r="C259">
        <v>27.166920000000001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26.74</v>
      </c>
      <c r="M259">
        <v>51.69</v>
      </c>
      <c r="N259">
        <v>13.72</v>
      </c>
      <c r="O259">
        <v>3.77</v>
      </c>
      <c r="P259">
        <v>0.36</v>
      </c>
      <c r="Q259">
        <v>33.14</v>
      </c>
      <c r="R259">
        <v>3.66</v>
      </c>
    </row>
    <row r="260" spans="1:18">
      <c r="A260">
        <v>37</v>
      </c>
      <c r="B260">
        <v>0</v>
      </c>
      <c r="C260">
        <v>23.711845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51.15</v>
      </c>
      <c r="M260">
        <v>368.81</v>
      </c>
      <c r="N260">
        <v>31.77</v>
      </c>
      <c r="O260">
        <v>11.61</v>
      </c>
      <c r="P260">
        <v>0.28000000000000003</v>
      </c>
      <c r="Q260">
        <v>33.19</v>
      </c>
      <c r="R260">
        <v>12.09</v>
      </c>
    </row>
    <row r="261" spans="1:18">
      <c r="A261">
        <v>54</v>
      </c>
      <c r="B261">
        <v>0</v>
      </c>
      <c r="C261">
        <v>24.910767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37.82</v>
      </c>
      <c r="M261">
        <v>46.72</v>
      </c>
      <c r="N261">
        <v>111.07</v>
      </c>
      <c r="O261">
        <v>0.42</v>
      </c>
      <c r="P261">
        <v>0.14000000000000001</v>
      </c>
      <c r="Q261">
        <v>30.33</v>
      </c>
      <c r="R261">
        <v>5.22</v>
      </c>
    </row>
    <row r="262" spans="1:18">
      <c r="A262">
        <v>29</v>
      </c>
      <c r="B262">
        <v>0</v>
      </c>
      <c r="C262">
        <v>20.568805999999999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60.14</v>
      </c>
      <c r="M262">
        <v>157.76</v>
      </c>
      <c r="N262">
        <v>93.54</v>
      </c>
      <c r="O262">
        <v>1.69</v>
      </c>
      <c r="P262">
        <v>0.32</v>
      </c>
      <c r="Q262">
        <v>34.11</v>
      </c>
      <c r="R262">
        <v>9.31</v>
      </c>
    </row>
    <row r="263" spans="1:18">
      <c r="A263">
        <v>53</v>
      </c>
      <c r="B263">
        <v>0</v>
      </c>
      <c r="C263">
        <v>16.796875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31.26</v>
      </c>
      <c r="M263">
        <v>22.92</v>
      </c>
      <c r="N263">
        <v>24.83</v>
      </c>
      <c r="O263">
        <v>0.92</v>
      </c>
      <c r="P263">
        <v>0.1</v>
      </c>
      <c r="Q263">
        <v>28.62</v>
      </c>
      <c r="R263">
        <v>3.37</v>
      </c>
    </row>
    <row r="264" spans="1:18">
      <c r="A264">
        <v>41</v>
      </c>
      <c r="B264">
        <v>0</v>
      </c>
      <c r="C264">
        <v>27.053802000000001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62.3</v>
      </c>
      <c r="M264">
        <v>117.51</v>
      </c>
      <c r="N264">
        <v>163.03</v>
      </c>
      <c r="O264">
        <v>0.72</v>
      </c>
      <c r="P264">
        <v>0.37</v>
      </c>
      <c r="Q264">
        <v>33.06</v>
      </c>
      <c r="R264">
        <v>5.81</v>
      </c>
    </row>
    <row r="265" spans="1:18">
      <c r="A265">
        <v>31</v>
      </c>
      <c r="B265">
        <v>0</v>
      </c>
      <c r="C265">
        <v>21.359306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66.59</v>
      </c>
      <c r="M265">
        <v>86.1</v>
      </c>
      <c r="N265">
        <v>231.69</v>
      </c>
      <c r="O265">
        <v>0.37</v>
      </c>
      <c r="P265">
        <v>0.22</v>
      </c>
      <c r="Q265">
        <v>25.79</v>
      </c>
      <c r="R265">
        <v>11.92</v>
      </c>
    </row>
    <row r="266" spans="1:18">
      <c r="A266">
        <v>50</v>
      </c>
      <c r="B266">
        <v>1</v>
      </c>
      <c r="C266">
        <v>23.781213999999999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112.06</v>
      </c>
      <c r="M266">
        <v>220.96</v>
      </c>
      <c r="N266">
        <v>579.64</v>
      </c>
      <c r="O266">
        <v>0.38</v>
      </c>
      <c r="P266">
        <v>0.77</v>
      </c>
      <c r="Q266">
        <v>31.27</v>
      </c>
      <c r="R266">
        <v>14.3</v>
      </c>
    </row>
    <row r="267" spans="1:18">
      <c r="A267">
        <v>36</v>
      </c>
      <c r="B267">
        <v>0</v>
      </c>
      <c r="C267">
        <v>18.365473000000001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43.14</v>
      </c>
      <c r="M267">
        <v>42.51</v>
      </c>
      <c r="N267">
        <v>145.12</v>
      </c>
      <c r="O267">
        <v>0.28999999999999998</v>
      </c>
      <c r="P267">
        <v>0.21</v>
      </c>
      <c r="Q267">
        <v>28.21</v>
      </c>
      <c r="R267">
        <v>9.4700000000000006</v>
      </c>
    </row>
    <row r="268" spans="1:18">
      <c r="A268">
        <v>42</v>
      </c>
      <c r="B268">
        <v>0</v>
      </c>
      <c r="C268">
        <v>23.30668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92.28</v>
      </c>
      <c r="M268">
        <v>407.18</v>
      </c>
      <c r="N268">
        <v>721.89</v>
      </c>
      <c r="O268">
        <v>0.56000000000000005</v>
      </c>
      <c r="P268">
        <v>0.08</v>
      </c>
      <c r="Q268">
        <v>29.01</v>
      </c>
      <c r="R268">
        <v>17.29</v>
      </c>
    </row>
    <row r="269" spans="1:18">
      <c r="A269">
        <v>56</v>
      </c>
      <c r="B269">
        <v>0</v>
      </c>
      <c r="C269">
        <v>22.313278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21.14</v>
      </c>
      <c r="M269">
        <v>21.72</v>
      </c>
      <c r="N269">
        <v>14.61</v>
      </c>
      <c r="O269">
        <v>1.49</v>
      </c>
      <c r="P269">
        <v>0.22</v>
      </c>
      <c r="Q269">
        <v>34.159999999999997</v>
      </c>
      <c r="R269">
        <v>3.27</v>
      </c>
    </row>
    <row r="270" spans="1:18">
      <c r="A270">
        <v>56</v>
      </c>
      <c r="B270">
        <v>0</v>
      </c>
      <c r="C270">
        <v>27.005130000000001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63.51</v>
      </c>
      <c r="M270">
        <v>55.52</v>
      </c>
      <c r="N270">
        <v>218.01</v>
      </c>
      <c r="O270">
        <v>0.25</v>
      </c>
      <c r="P270">
        <v>0.24</v>
      </c>
      <c r="Q270">
        <v>34.76</v>
      </c>
      <c r="R270">
        <v>5.73</v>
      </c>
    </row>
    <row r="271" spans="1:18">
      <c r="A271">
        <v>25</v>
      </c>
      <c r="B271">
        <v>0</v>
      </c>
      <c r="C271">
        <v>20.028841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41.32</v>
      </c>
      <c r="M271">
        <v>30.18</v>
      </c>
      <c r="N271">
        <v>167.75</v>
      </c>
      <c r="O271">
        <v>0.18</v>
      </c>
      <c r="P271">
        <v>0.28999999999999998</v>
      </c>
      <c r="Q271">
        <v>33.229999999999997</v>
      </c>
      <c r="R271">
        <v>5.6</v>
      </c>
    </row>
    <row r="272" spans="1:18">
      <c r="A272">
        <v>44</v>
      </c>
      <c r="B272">
        <v>0</v>
      </c>
      <c r="C272">
        <v>26.233557000000001</v>
      </c>
      <c r="D272">
        <v>0</v>
      </c>
      <c r="E272">
        <v>1</v>
      </c>
      <c r="F272">
        <v>0</v>
      </c>
      <c r="G272">
        <v>1</v>
      </c>
      <c r="H272">
        <v>1</v>
      </c>
      <c r="I272">
        <v>0</v>
      </c>
      <c r="J272">
        <v>0</v>
      </c>
      <c r="K272">
        <v>0</v>
      </c>
      <c r="L272">
        <v>141.57</v>
      </c>
      <c r="M272">
        <v>545.63</v>
      </c>
      <c r="N272">
        <v>1263.57</v>
      </c>
      <c r="O272">
        <v>0.43</v>
      </c>
      <c r="P272">
        <v>0.17</v>
      </c>
      <c r="Q272">
        <v>31.77</v>
      </c>
      <c r="R272">
        <v>24.12</v>
      </c>
    </row>
    <row r="273" spans="1:18">
      <c r="A273">
        <v>30</v>
      </c>
      <c r="B273">
        <v>1</v>
      </c>
      <c r="C273">
        <v>22.460032999999999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55.59</v>
      </c>
      <c r="M273">
        <v>152.75</v>
      </c>
      <c r="N273">
        <v>71.64</v>
      </c>
      <c r="O273">
        <v>2.13</v>
      </c>
      <c r="P273">
        <v>0.55000000000000004</v>
      </c>
      <c r="Q273">
        <v>28.1</v>
      </c>
      <c r="R273">
        <v>7.47</v>
      </c>
    </row>
    <row r="274" spans="1:18">
      <c r="A274">
        <v>25</v>
      </c>
      <c r="B274">
        <v>1</v>
      </c>
      <c r="C274">
        <v>22.675737000000002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107.22</v>
      </c>
      <c r="M274">
        <v>609.92999999999995</v>
      </c>
      <c r="N274">
        <v>868.17</v>
      </c>
      <c r="O274">
        <v>0.7</v>
      </c>
      <c r="P274">
        <v>0.62</v>
      </c>
      <c r="Q274">
        <v>24.37</v>
      </c>
      <c r="R274">
        <v>20.190000000000001</v>
      </c>
    </row>
    <row r="275" spans="1:18">
      <c r="A275">
        <v>21</v>
      </c>
      <c r="B275">
        <v>0</v>
      </c>
      <c r="C275">
        <v>21.096191000000001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29.39</v>
      </c>
      <c r="M275">
        <v>43.02</v>
      </c>
      <c r="N275">
        <v>23.19</v>
      </c>
      <c r="O275">
        <v>1.86</v>
      </c>
      <c r="P275">
        <v>0.27</v>
      </c>
      <c r="Q275">
        <v>33.840000000000003</v>
      </c>
      <c r="R275">
        <v>3.44</v>
      </c>
    </row>
    <row r="276" spans="1:18">
      <c r="A276">
        <v>27</v>
      </c>
      <c r="B276">
        <v>0</v>
      </c>
      <c r="C276">
        <v>26.298489</v>
      </c>
      <c r="D276">
        <v>0</v>
      </c>
      <c r="E276">
        <v>0</v>
      </c>
      <c r="F276">
        <v>1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48.57</v>
      </c>
      <c r="M276">
        <v>77.83</v>
      </c>
      <c r="N276">
        <v>81.569999999999993</v>
      </c>
      <c r="O276">
        <v>0.95</v>
      </c>
      <c r="P276">
        <v>0.05</v>
      </c>
      <c r="Q276">
        <v>32.61</v>
      </c>
      <c r="R276">
        <v>8.15</v>
      </c>
    </row>
    <row r="277" spans="1:18">
      <c r="A277">
        <v>52</v>
      </c>
      <c r="B277">
        <v>0</v>
      </c>
      <c r="C277">
        <v>18.818923999999999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55.99</v>
      </c>
      <c r="M277">
        <v>174.32</v>
      </c>
      <c r="N277">
        <v>200.93</v>
      </c>
      <c r="O277">
        <v>0.87</v>
      </c>
      <c r="P277">
        <v>0.22</v>
      </c>
      <c r="Q277">
        <v>26.27</v>
      </c>
      <c r="R277">
        <v>4.82</v>
      </c>
    </row>
    <row r="278" spans="1:18">
      <c r="A278">
        <v>41</v>
      </c>
      <c r="B278">
        <v>0</v>
      </c>
      <c r="C278">
        <v>19.003907999999999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36.76</v>
      </c>
      <c r="M278">
        <v>12</v>
      </c>
      <c r="N278">
        <v>79.39</v>
      </c>
      <c r="O278">
        <v>0.15</v>
      </c>
      <c r="P278">
        <v>0.14000000000000001</v>
      </c>
      <c r="Q278">
        <v>27.25</v>
      </c>
      <c r="R278">
        <v>6.97</v>
      </c>
    </row>
    <row r="279" spans="1:18">
      <c r="A279">
        <v>56</v>
      </c>
      <c r="B279">
        <v>0</v>
      </c>
      <c r="C279">
        <v>22.213678000000002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25.97</v>
      </c>
      <c r="M279">
        <v>31.75</v>
      </c>
      <c r="N279">
        <v>26.02</v>
      </c>
      <c r="O279">
        <v>1.22</v>
      </c>
      <c r="P279">
        <v>0.64</v>
      </c>
      <c r="Q279">
        <v>34.69</v>
      </c>
      <c r="R279">
        <v>2.79</v>
      </c>
    </row>
    <row r="280" spans="1:18">
      <c r="A280">
        <v>48</v>
      </c>
      <c r="B280">
        <v>0</v>
      </c>
      <c r="C280">
        <v>29.384675999999999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32.14</v>
      </c>
      <c r="M280">
        <v>22.15</v>
      </c>
      <c r="N280">
        <v>33.03</v>
      </c>
      <c r="O280">
        <v>0.67</v>
      </c>
      <c r="P280">
        <v>0.43</v>
      </c>
      <c r="Q280">
        <v>32.56</v>
      </c>
      <c r="R280">
        <v>4.0999999999999996</v>
      </c>
    </row>
    <row r="281" spans="1:18">
      <c r="A281">
        <v>46</v>
      </c>
      <c r="B281">
        <v>0</v>
      </c>
      <c r="C281">
        <v>27.885186999999998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35.119999999999997</v>
      </c>
      <c r="M281">
        <v>20.49</v>
      </c>
      <c r="N281">
        <v>53</v>
      </c>
      <c r="O281">
        <v>0.39</v>
      </c>
      <c r="P281">
        <v>0.4</v>
      </c>
      <c r="Q281">
        <v>32.15</v>
      </c>
      <c r="R281">
        <v>2.92</v>
      </c>
    </row>
    <row r="282" spans="1:18">
      <c r="A282">
        <v>37</v>
      </c>
      <c r="B282">
        <v>1</v>
      </c>
      <c r="C282">
        <v>34.293551999999998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73.97</v>
      </c>
      <c r="M282">
        <v>351.64</v>
      </c>
      <c r="N282">
        <v>170.53</v>
      </c>
      <c r="O282">
        <v>2.06</v>
      </c>
      <c r="P282">
        <v>0.93</v>
      </c>
      <c r="Q282">
        <v>34.1</v>
      </c>
      <c r="R282">
        <v>6.88</v>
      </c>
    </row>
    <row r="283" spans="1:18">
      <c r="A283">
        <v>48</v>
      </c>
      <c r="B283">
        <v>0</v>
      </c>
      <c r="C283">
        <v>23.634032999999999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25.4</v>
      </c>
      <c r="M283">
        <v>8.73</v>
      </c>
      <c r="N283">
        <v>17.87</v>
      </c>
      <c r="O283">
        <v>0.49</v>
      </c>
      <c r="P283">
        <v>1.05</v>
      </c>
      <c r="Q283">
        <v>32.04</v>
      </c>
      <c r="R283">
        <v>2.2999999999999998</v>
      </c>
    </row>
    <row r="284" spans="1:18">
      <c r="A284">
        <v>54</v>
      </c>
      <c r="B284">
        <v>1</v>
      </c>
      <c r="C284">
        <v>23.808691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35.369999999999997</v>
      </c>
      <c r="M284">
        <v>18.57</v>
      </c>
      <c r="N284">
        <v>35.229999999999997</v>
      </c>
      <c r="O284">
        <v>0.53</v>
      </c>
      <c r="P284">
        <v>0.24</v>
      </c>
      <c r="Q284">
        <v>31.96</v>
      </c>
      <c r="R284">
        <v>3.25</v>
      </c>
    </row>
    <row r="285" spans="1:18">
      <c r="A285">
        <v>42</v>
      </c>
      <c r="B285">
        <v>1</v>
      </c>
      <c r="C285">
        <v>24.801587999999999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55.59</v>
      </c>
      <c r="M285">
        <v>204.2</v>
      </c>
      <c r="N285">
        <v>155.66999999999999</v>
      </c>
      <c r="O285">
        <v>1.31</v>
      </c>
      <c r="P285">
        <v>0.54</v>
      </c>
      <c r="Q285">
        <v>30.08</v>
      </c>
      <c r="R285">
        <v>7.39</v>
      </c>
    </row>
    <row r="286" spans="1:18">
      <c r="A286">
        <v>42</v>
      </c>
      <c r="B286">
        <v>0</v>
      </c>
      <c r="C286">
        <v>22.65625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44.82</v>
      </c>
      <c r="M286">
        <v>57.13</v>
      </c>
      <c r="N286">
        <v>105.26</v>
      </c>
      <c r="O286">
        <v>0.54</v>
      </c>
      <c r="P286">
        <v>0.38</v>
      </c>
      <c r="Q286">
        <v>32.49</v>
      </c>
      <c r="R286">
        <v>9.15</v>
      </c>
    </row>
    <row r="287" spans="1:18">
      <c r="A287">
        <v>20</v>
      </c>
      <c r="B287">
        <v>0</v>
      </c>
      <c r="C287">
        <v>23.233456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17.149999999999999</v>
      </c>
      <c r="M287">
        <v>15.47</v>
      </c>
      <c r="N287">
        <v>7.51</v>
      </c>
      <c r="O287">
        <v>2.06</v>
      </c>
      <c r="P287">
        <v>2.46</v>
      </c>
      <c r="Q287">
        <v>33.65</v>
      </c>
      <c r="R287">
        <v>3.95</v>
      </c>
    </row>
    <row r="288" spans="1:18">
      <c r="A288">
        <v>46</v>
      </c>
      <c r="B288">
        <v>0</v>
      </c>
      <c r="C288">
        <v>21.989892999999999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75</v>
      </c>
      <c r="M288">
        <v>97.71</v>
      </c>
      <c r="N288">
        <v>188.93</v>
      </c>
      <c r="O288">
        <v>0.52</v>
      </c>
      <c r="P288">
        <v>0.39</v>
      </c>
      <c r="Q288">
        <v>23.87</v>
      </c>
      <c r="R288">
        <v>10.77</v>
      </c>
    </row>
    <row r="289" spans="1:18">
      <c r="A289">
        <v>23</v>
      </c>
      <c r="B289">
        <v>0</v>
      </c>
      <c r="C289">
        <v>18.256319000000001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61.09</v>
      </c>
      <c r="M289">
        <v>150.26</v>
      </c>
      <c r="N289">
        <v>226.25</v>
      </c>
      <c r="O289">
        <v>0.66</v>
      </c>
      <c r="P289">
        <v>0.46</v>
      </c>
      <c r="Q289">
        <v>32.229999999999997</v>
      </c>
      <c r="R289">
        <v>8.9</v>
      </c>
    </row>
    <row r="290" spans="1:18">
      <c r="A290">
        <v>31</v>
      </c>
      <c r="B290">
        <v>0</v>
      </c>
      <c r="C290">
        <v>26.569614000000001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47.17</v>
      </c>
      <c r="M290">
        <v>84.79</v>
      </c>
      <c r="N290">
        <v>188.87</v>
      </c>
      <c r="O290">
        <v>0.45</v>
      </c>
      <c r="P290">
        <v>0.64</v>
      </c>
      <c r="Q290">
        <v>31.36</v>
      </c>
      <c r="R290">
        <v>7.15</v>
      </c>
    </row>
    <row r="291" spans="1:18">
      <c r="A291">
        <v>34</v>
      </c>
      <c r="B291">
        <v>0</v>
      </c>
      <c r="C291">
        <v>20.202020000000001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233.86</v>
      </c>
      <c r="M291">
        <v>4642.8599999999997</v>
      </c>
      <c r="N291">
        <v>806.4</v>
      </c>
      <c r="O291">
        <v>5.76</v>
      </c>
      <c r="P291">
        <v>0.32</v>
      </c>
      <c r="Q291">
        <v>30.09</v>
      </c>
      <c r="R291">
        <v>18.14</v>
      </c>
    </row>
    <row r="292" spans="1:18">
      <c r="A292">
        <v>44</v>
      </c>
      <c r="B292">
        <v>0</v>
      </c>
      <c r="C292">
        <v>22.83737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40.74</v>
      </c>
      <c r="M292">
        <v>40.75</v>
      </c>
      <c r="N292">
        <v>103.44</v>
      </c>
      <c r="O292">
        <v>0.39</v>
      </c>
      <c r="P292">
        <v>0.24</v>
      </c>
      <c r="Q292">
        <v>28.04</v>
      </c>
      <c r="R292">
        <v>5.08</v>
      </c>
    </row>
    <row r="293" spans="1:18">
      <c r="A293">
        <v>39</v>
      </c>
      <c r="B293">
        <v>0</v>
      </c>
      <c r="C293">
        <v>24.835764000000001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76.959999999999994</v>
      </c>
      <c r="M293">
        <v>210.03</v>
      </c>
      <c r="N293">
        <v>298.26</v>
      </c>
      <c r="O293">
        <v>0.7</v>
      </c>
      <c r="P293">
        <v>0.64</v>
      </c>
      <c r="Q293">
        <v>30.78</v>
      </c>
      <c r="R293">
        <v>12.64</v>
      </c>
    </row>
    <row r="294" spans="1:18">
      <c r="A294">
        <v>47</v>
      </c>
      <c r="B294">
        <v>0</v>
      </c>
      <c r="C294">
        <v>19.227688000000001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69.650000000000006</v>
      </c>
      <c r="M294">
        <v>586.49</v>
      </c>
      <c r="N294">
        <v>146.78</v>
      </c>
      <c r="O294">
        <v>4</v>
      </c>
      <c r="P294">
        <v>0.5</v>
      </c>
      <c r="Q294">
        <v>27.12</v>
      </c>
      <c r="R294">
        <v>14.75</v>
      </c>
    </row>
    <row r="295" spans="1:18">
      <c r="A295">
        <v>39</v>
      </c>
      <c r="B295">
        <v>0</v>
      </c>
      <c r="C295">
        <v>21.875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31.1</v>
      </c>
      <c r="M295">
        <v>22.6</v>
      </c>
      <c r="N295">
        <v>48.22</v>
      </c>
      <c r="O295">
        <v>0.47</v>
      </c>
      <c r="P295">
        <v>0.72</v>
      </c>
      <c r="Q295">
        <v>29.92</v>
      </c>
      <c r="R295">
        <v>11.69</v>
      </c>
    </row>
    <row r="296" spans="1:18">
      <c r="A296">
        <v>66</v>
      </c>
      <c r="B296">
        <v>1</v>
      </c>
      <c r="C296">
        <v>24.622961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23.18</v>
      </c>
      <c r="M296">
        <v>17.23</v>
      </c>
      <c r="N296">
        <v>8.49</v>
      </c>
      <c r="O296">
        <v>2.0299999999999998</v>
      </c>
      <c r="P296">
        <v>0.19</v>
      </c>
      <c r="Q296">
        <v>29.36</v>
      </c>
      <c r="R296">
        <v>3.91</v>
      </c>
    </row>
    <row r="297" spans="1:18">
      <c r="A297">
        <v>42</v>
      </c>
      <c r="B297">
        <v>0</v>
      </c>
      <c r="C297">
        <v>26.171875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49.7</v>
      </c>
      <c r="M297">
        <v>100.97</v>
      </c>
      <c r="N297">
        <v>117.05</v>
      </c>
      <c r="O297">
        <v>0.86</v>
      </c>
      <c r="P297">
        <v>0.09</v>
      </c>
      <c r="Q297">
        <v>25.32</v>
      </c>
      <c r="R297">
        <v>8.25</v>
      </c>
    </row>
    <row r="298" spans="1:18">
      <c r="A298">
        <v>41</v>
      </c>
      <c r="B298">
        <v>0</v>
      </c>
      <c r="C298">
        <v>28.040379000000001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16.22</v>
      </c>
      <c r="M298">
        <v>5.72</v>
      </c>
      <c r="N298">
        <v>12.84</v>
      </c>
      <c r="O298">
        <v>0.45</v>
      </c>
      <c r="P298">
        <v>0.25</v>
      </c>
      <c r="Q298">
        <v>31.9</v>
      </c>
      <c r="R298">
        <v>3.79</v>
      </c>
    </row>
    <row r="299" spans="1:18">
      <c r="A299">
        <v>42</v>
      </c>
      <c r="B299">
        <v>0</v>
      </c>
      <c r="C299">
        <v>24.508945000000001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34.74</v>
      </c>
      <c r="M299">
        <v>38.24</v>
      </c>
      <c r="N299">
        <v>87.7</v>
      </c>
      <c r="O299">
        <v>0.44</v>
      </c>
      <c r="P299">
        <v>0.42</v>
      </c>
      <c r="Q299">
        <v>32.229999999999997</v>
      </c>
      <c r="R299">
        <v>7.14</v>
      </c>
    </row>
    <row r="300" spans="1:18">
      <c r="A300">
        <v>43</v>
      </c>
      <c r="B300">
        <v>0</v>
      </c>
      <c r="C300">
        <v>19.835146000000002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39.14</v>
      </c>
      <c r="M300">
        <v>18.95</v>
      </c>
      <c r="N300">
        <v>91.83</v>
      </c>
      <c r="O300">
        <v>0.21</v>
      </c>
      <c r="P300">
        <v>0.34</v>
      </c>
      <c r="Q300">
        <v>29.71</v>
      </c>
      <c r="R300">
        <v>5.75</v>
      </c>
    </row>
    <row r="301" spans="1:18">
      <c r="A301">
        <v>31</v>
      </c>
      <c r="B301">
        <v>0</v>
      </c>
      <c r="C301">
        <v>17.898023999999999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68.95</v>
      </c>
      <c r="M301">
        <v>307.13</v>
      </c>
      <c r="N301">
        <v>93.26</v>
      </c>
      <c r="O301">
        <v>3.29</v>
      </c>
      <c r="P301">
        <v>0.14000000000000001</v>
      </c>
      <c r="Q301">
        <v>26.21</v>
      </c>
      <c r="R301">
        <v>7.36</v>
      </c>
    </row>
    <row r="302" spans="1:18">
      <c r="A302">
        <v>33</v>
      </c>
      <c r="B302">
        <v>1</v>
      </c>
      <c r="C302">
        <v>25.826447000000002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38.51</v>
      </c>
      <c r="M302">
        <v>60.23</v>
      </c>
      <c r="N302">
        <v>34.56</v>
      </c>
      <c r="O302">
        <v>1.74</v>
      </c>
      <c r="P302">
        <v>0.26</v>
      </c>
      <c r="Q302">
        <v>27.55</v>
      </c>
      <c r="R302">
        <v>4.59</v>
      </c>
    </row>
    <row r="303" spans="1:18">
      <c r="A303">
        <v>48</v>
      </c>
      <c r="B303">
        <v>0</v>
      </c>
      <c r="C303">
        <v>24.776793999999999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37.119999999999997</v>
      </c>
      <c r="M303">
        <v>43.08</v>
      </c>
      <c r="N303">
        <v>83.59</v>
      </c>
      <c r="O303">
        <v>0.52</v>
      </c>
      <c r="P303">
        <v>0.51</v>
      </c>
      <c r="Q303">
        <v>31.24</v>
      </c>
      <c r="R303">
        <v>6.37</v>
      </c>
    </row>
    <row r="304" spans="1:18">
      <c r="A304">
        <v>43</v>
      </c>
      <c r="B304">
        <v>0</v>
      </c>
      <c r="C304">
        <v>23.733238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77.41</v>
      </c>
      <c r="M304">
        <v>71.510000000000005</v>
      </c>
      <c r="N304">
        <v>355.7</v>
      </c>
      <c r="O304">
        <v>0.2</v>
      </c>
      <c r="P304">
        <v>0.36</v>
      </c>
      <c r="Q304">
        <v>23.09</v>
      </c>
      <c r="R304">
        <v>11.77</v>
      </c>
    </row>
    <row r="305" spans="1:18">
      <c r="A305">
        <v>44</v>
      </c>
      <c r="B305">
        <v>1</v>
      </c>
      <c r="C305">
        <v>45.440876000000003</v>
      </c>
      <c r="D305">
        <v>0</v>
      </c>
      <c r="E305">
        <v>1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67.959999999999994</v>
      </c>
      <c r="M305">
        <v>312.2</v>
      </c>
      <c r="N305">
        <v>178.19</v>
      </c>
      <c r="O305">
        <v>1.75</v>
      </c>
      <c r="P305">
        <v>0.08</v>
      </c>
      <c r="Q305">
        <v>31.24</v>
      </c>
      <c r="R305">
        <v>6.77</v>
      </c>
    </row>
    <row r="306" spans="1:18">
      <c r="A306">
        <v>32</v>
      </c>
      <c r="B306">
        <v>0</v>
      </c>
      <c r="C306">
        <v>21.457267999999999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77.7</v>
      </c>
      <c r="M306">
        <v>132.47</v>
      </c>
      <c r="N306">
        <v>393.38</v>
      </c>
      <c r="O306">
        <v>0.34</v>
      </c>
      <c r="P306">
        <v>0.71</v>
      </c>
      <c r="Q306">
        <v>21.06</v>
      </c>
      <c r="R306">
        <v>9.67</v>
      </c>
    </row>
    <row r="307" spans="1:18">
      <c r="A307">
        <v>45</v>
      </c>
      <c r="B307">
        <v>1</v>
      </c>
      <c r="C307">
        <v>21.777553999999999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46.37</v>
      </c>
      <c r="M307">
        <v>272.12</v>
      </c>
      <c r="N307">
        <v>81.760000000000005</v>
      </c>
      <c r="O307">
        <v>3.33</v>
      </c>
      <c r="P307">
        <v>2.92</v>
      </c>
      <c r="Q307">
        <v>26.73</v>
      </c>
      <c r="R307">
        <v>5.74</v>
      </c>
    </row>
    <row r="308" spans="1:18">
      <c r="A308">
        <v>48</v>
      </c>
      <c r="B308">
        <v>0</v>
      </c>
      <c r="C308">
        <v>26.953125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41.14</v>
      </c>
      <c r="M308">
        <v>18.29</v>
      </c>
      <c r="N308">
        <v>31.56</v>
      </c>
      <c r="O308">
        <v>0.57999999999999996</v>
      </c>
      <c r="P308">
        <v>0.17</v>
      </c>
      <c r="Q308">
        <v>25.74</v>
      </c>
      <c r="R308">
        <v>5.28</v>
      </c>
    </row>
    <row r="309" spans="1:18">
      <c r="A309">
        <v>43</v>
      </c>
      <c r="B309">
        <v>0</v>
      </c>
      <c r="C309">
        <v>23.068049999999999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43.61</v>
      </c>
      <c r="M309">
        <v>76.59</v>
      </c>
      <c r="N309">
        <v>138.66</v>
      </c>
      <c r="O309">
        <v>0.55000000000000004</v>
      </c>
      <c r="P309">
        <v>0.18</v>
      </c>
      <c r="Q309">
        <v>27.55</v>
      </c>
      <c r="R309">
        <v>7.4</v>
      </c>
    </row>
    <row r="310" spans="1:18">
      <c r="A310">
        <v>41</v>
      </c>
      <c r="B310">
        <v>0</v>
      </c>
      <c r="C310">
        <v>19.979189000000002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41.83</v>
      </c>
      <c r="M310">
        <v>59.62</v>
      </c>
      <c r="N310">
        <v>138</v>
      </c>
      <c r="O310">
        <v>0.43</v>
      </c>
      <c r="P310">
        <v>0.56000000000000005</v>
      </c>
      <c r="Q310">
        <v>27.93</v>
      </c>
      <c r="R310">
        <v>6.67</v>
      </c>
    </row>
    <row r="311" spans="1:18">
      <c r="A311">
        <v>33</v>
      </c>
      <c r="B311">
        <v>0</v>
      </c>
      <c r="C311">
        <v>17.258382999999998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102.25</v>
      </c>
      <c r="M311">
        <v>373.73</v>
      </c>
      <c r="N311">
        <v>360.52</v>
      </c>
      <c r="O311">
        <v>1.04</v>
      </c>
      <c r="P311">
        <v>0.22</v>
      </c>
      <c r="Q311">
        <v>27.94</v>
      </c>
      <c r="R311">
        <v>12.66</v>
      </c>
    </row>
    <row r="312" spans="1:18">
      <c r="A312">
        <v>32</v>
      </c>
      <c r="B312">
        <v>0</v>
      </c>
      <c r="C312">
        <v>17.959923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36.19</v>
      </c>
      <c r="M312">
        <v>38.119999999999997</v>
      </c>
      <c r="N312">
        <v>60.67</v>
      </c>
      <c r="O312">
        <v>0.63</v>
      </c>
      <c r="P312">
        <v>0.26</v>
      </c>
      <c r="Q312">
        <v>28.63</v>
      </c>
      <c r="R312">
        <v>6.79</v>
      </c>
    </row>
    <row r="313" spans="1:18">
      <c r="A313">
        <v>42</v>
      </c>
      <c r="B313">
        <v>0</v>
      </c>
      <c r="C313">
        <v>23.588329999999999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23.73</v>
      </c>
      <c r="M313">
        <v>33.08</v>
      </c>
      <c r="N313">
        <v>29.76</v>
      </c>
      <c r="O313">
        <v>1.1100000000000001</v>
      </c>
      <c r="P313">
        <v>0.22</v>
      </c>
      <c r="Q313">
        <v>30.99</v>
      </c>
      <c r="R313">
        <v>3.02</v>
      </c>
    </row>
    <row r="314" spans="1:18">
      <c r="A314">
        <v>38</v>
      </c>
      <c r="B314">
        <v>0</v>
      </c>
      <c r="C314">
        <v>24.121749999999999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147.62</v>
      </c>
      <c r="M314">
        <v>657.69</v>
      </c>
      <c r="N314">
        <v>1681.93</v>
      </c>
      <c r="O314">
        <v>0.39</v>
      </c>
      <c r="P314">
        <v>1.1499999999999999</v>
      </c>
      <c r="Q314">
        <v>26.87</v>
      </c>
      <c r="R314">
        <v>11.99</v>
      </c>
    </row>
    <row r="315" spans="1:18">
      <c r="A315">
        <v>35</v>
      </c>
      <c r="B315">
        <v>0</v>
      </c>
      <c r="C315">
        <v>31.25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28.72</v>
      </c>
      <c r="M315">
        <v>32.47</v>
      </c>
      <c r="N315">
        <v>52.78</v>
      </c>
      <c r="O315">
        <v>0.62</v>
      </c>
      <c r="P315">
        <v>0.35</v>
      </c>
      <c r="Q315">
        <v>32.06</v>
      </c>
      <c r="R315">
        <v>6.49</v>
      </c>
    </row>
    <row r="316" spans="1:18">
      <c r="A316">
        <v>36</v>
      </c>
      <c r="B316">
        <v>0</v>
      </c>
      <c r="C316">
        <v>22.582708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27.76</v>
      </c>
      <c r="M316">
        <v>33.03</v>
      </c>
      <c r="N316">
        <v>31.5</v>
      </c>
      <c r="O316">
        <v>1.05</v>
      </c>
      <c r="P316">
        <v>0.1</v>
      </c>
      <c r="Q316">
        <v>29.21</v>
      </c>
      <c r="R316">
        <v>4.1399999999999997</v>
      </c>
    </row>
    <row r="317" spans="1:18">
      <c r="A317">
        <v>41</v>
      </c>
      <c r="B317">
        <v>0</v>
      </c>
      <c r="C317">
        <v>18.611495999999999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48.92</v>
      </c>
      <c r="M317">
        <v>15.6</v>
      </c>
      <c r="N317">
        <v>143.84</v>
      </c>
      <c r="O317">
        <v>0.11</v>
      </c>
      <c r="P317">
        <v>0.22</v>
      </c>
      <c r="Q317">
        <v>27.16</v>
      </c>
      <c r="R317">
        <v>13.54</v>
      </c>
    </row>
    <row r="318" spans="1:18">
      <c r="A318">
        <v>64</v>
      </c>
      <c r="B318">
        <v>0</v>
      </c>
      <c r="C318">
        <v>30.297785000000001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73.87</v>
      </c>
      <c r="M318">
        <v>21.08</v>
      </c>
      <c r="N318">
        <v>26.62</v>
      </c>
      <c r="O318">
        <v>0.79</v>
      </c>
      <c r="P318">
        <v>0.24</v>
      </c>
      <c r="Q318">
        <v>30.98</v>
      </c>
      <c r="R318">
        <v>3.69</v>
      </c>
    </row>
    <row r="319" spans="1:18">
      <c r="A319">
        <v>65</v>
      </c>
      <c r="B319">
        <v>1</v>
      </c>
      <c r="C319">
        <v>22.471209000000002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18.32</v>
      </c>
      <c r="M319">
        <v>6.83</v>
      </c>
      <c r="N319">
        <v>19.37</v>
      </c>
      <c r="O319">
        <v>0.35</v>
      </c>
      <c r="P319">
        <v>0.17</v>
      </c>
      <c r="Q319">
        <v>29.68</v>
      </c>
      <c r="R319">
        <v>2.68</v>
      </c>
    </row>
    <row r="320" spans="1:18">
      <c r="A320">
        <v>40</v>
      </c>
      <c r="B320">
        <v>0</v>
      </c>
      <c r="C320">
        <v>24.111507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55.22</v>
      </c>
      <c r="M320">
        <v>183.72</v>
      </c>
      <c r="N320">
        <v>60.79</v>
      </c>
      <c r="O320">
        <v>3.02</v>
      </c>
      <c r="P320">
        <v>0.44</v>
      </c>
      <c r="Q320">
        <v>31.98</v>
      </c>
      <c r="R320">
        <v>6.98</v>
      </c>
    </row>
    <row r="321" spans="1:18">
      <c r="A321">
        <v>49</v>
      </c>
      <c r="B321">
        <v>1</v>
      </c>
      <c r="C321">
        <v>26.989619999999999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40.520000000000003</v>
      </c>
      <c r="M321">
        <v>58.47</v>
      </c>
      <c r="N321">
        <v>45.5</v>
      </c>
      <c r="O321">
        <v>1.29</v>
      </c>
      <c r="P321">
        <v>0.26</v>
      </c>
      <c r="Q321">
        <v>28.07</v>
      </c>
      <c r="R321">
        <v>4.43</v>
      </c>
    </row>
    <row r="322" spans="1:18">
      <c r="A322">
        <v>48</v>
      </c>
      <c r="B322">
        <v>0</v>
      </c>
      <c r="C322">
        <v>24.435186000000002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46.57</v>
      </c>
      <c r="M322">
        <v>99.89</v>
      </c>
      <c r="N322">
        <v>133.77000000000001</v>
      </c>
      <c r="O322">
        <v>0.75</v>
      </c>
      <c r="P322">
        <v>0.57999999999999996</v>
      </c>
      <c r="Q322">
        <v>28.08</v>
      </c>
      <c r="R322">
        <v>7.32</v>
      </c>
    </row>
    <row r="323" spans="1:18">
      <c r="A323">
        <v>40</v>
      </c>
      <c r="B323">
        <v>0</v>
      </c>
      <c r="C323">
        <v>24.005486999999999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61.7</v>
      </c>
      <c r="M323">
        <v>132.19</v>
      </c>
      <c r="N323">
        <v>250.3</v>
      </c>
      <c r="O323">
        <v>0.53</v>
      </c>
      <c r="P323">
        <v>0.28000000000000003</v>
      </c>
      <c r="Q323">
        <v>26.76</v>
      </c>
      <c r="R323">
        <v>8.65</v>
      </c>
    </row>
    <row r="324" spans="1:18">
      <c r="A324">
        <v>33</v>
      </c>
      <c r="B324">
        <v>1</v>
      </c>
      <c r="C324">
        <v>20.661158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21.83</v>
      </c>
      <c r="M324">
        <v>27.14</v>
      </c>
      <c r="N324">
        <v>16.510000000000002</v>
      </c>
      <c r="O324">
        <v>1.64</v>
      </c>
      <c r="P324">
        <v>0.54</v>
      </c>
      <c r="Q324">
        <v>28.24</v>
      </c>
      <c r="R324">
        <v>4.49</v>
      </c>
    </row>
    <row r="325" spans="1:18">
      <c r="A325">
        <v>43</v>
      </c>
      <c r="B325">
        <v>0</v>
      </c>
      <c r="C325">
        <v>19.361826000000001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50.83</v>
      </c>
      <c r="M325">
        <v>63.94</v>
      </c>
      <c r="N325">
        <v>122.09</v>
      </c>
      <c r="O325">
        <v>0.52</v>
      </c>
      <c r="P325">
        <v>0.43</v>
      </c>
      <c r="Q325">
        <v>31.33</v>
      </c>
      <c r="R325">
        <v>10.220000000000001</v>
      </c>
    </row>
    <row r="326" spans="1:18">
      <c r="A326">
        <v>66</v>
      </c>
      <c r="B326">
        <v>0</v>
      </c>
      <c r="C326">
        <v>27.005130000000001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22.1</v>
      </c>
      <c r="M326">
        <v>17.04</v>
      </c>
      <c r="N326">
        <v>32.71</v>
      </c>
      <c r="O326">
        <v>0.52</v>
      </c>
      <c r="P326">
        <v>0.2</v>
      </c>
      <c r="Q326">
        <v>31.22</v>
      </c>
      <c r="R326">
        <v>2.66</v>
      </c>
    </row>
    <row r="327" spans="1:18">
      <c r="A327">
        <v>68</v>
      </c>
      <c r="B327">
        <v>1</v>
      </c>
      <c r="C327">
        <v>21.875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51.08</v>
      </c>
      <c r="M327">
        <v>81.430000000000007</v>
      </c>
      <c r="N327">
        <v>47.33</v>
      </c>
      <c r="O327">
        <v>1.72</v>
      </c>
      <c r="P327">
        <v>0.21</v>
      </c>
      <c r="Q327">
        <v>27.18</v>
      </c>
      <c r="R327">
        <v>4.09</v>
      </c>
    </row>
    <row r="328" spans="1:18">
      <c r="A328">
        <v>68</v>
      </c>
      <c r="B328">
        <v>1</v>
      </c>
      <c r="C328">
        <v>18.069727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21.29</v>
      </c>
      <c r="M328">
        <v>13.41</v>
      </c>
      <c r="N328">
        <v>11.4</v>
      </c>
      <c r="O328">
        <v>1.18</v>
      </c>
      <c r="P328">
        <v>0.24</v>
      </c>
      <c r="Q328">
        <v>29.52</v>
      </c>
      <c r="R328">
        <v>4.9000000000000004</v>
      </c>
    </row>
    <row r="329" spans="1:18">
      <c r="A329">
        <v>60</v>
      </c>
      <c r="B329">
        <v>1</v>
      </c>
      <c r="C329">
        <v>23.225431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209.74</v>
      </c>
      <c r="M329">
        <v>2251.15</v>
      </c>
      <c r="N329">
        <v>2697.52</v>
      </c>
      <c r="O329">
        <v>0.83</v>
      </c>
      <c r="P329">
        <v>0.12</v>
      </c>
      <c r="Q329">
        <v>26.24</v>
      </c>
      <c r="R329">
        <v>52.67</v>
      </c>
    </row>
    <row r="330" spans="1:18">
      <c r="A330">
        <v>65</v>
      </c>
      <c r="B330">
        <v>1</v>
      </c>
      <c r="C330">
        <v>27.148437999999999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35.33</v>
      </c>
      <c r="M330">
        <v>18.89</v>
      </c>
      <c r="N330">
        <v>73.36</v>
      </c>
      <c r="O330">
        <v>0.26</v>
      </c>
      <c r="P330">
        <v>0.12</v>
      </c>
      <c r="Q330">
        <v>26.14</v>
      </c>
      <c r="R330">
        <v>3.76</v>
      </c>
    </row>
    <row r="331" spans="1:18">
      <c r="A331">
        <v>69</v>
      </c>
      <c r="B331">
        <v>1</v>
      </c>
      <c r="C331">
        <v>24.567474000000001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22.41</v>
      </c>
      <c r="M331">
        <v>41.05</v>
      </c>
      <c r="N331">
        <v>8.85</v>
      </c>
      <c r="O331">
        <v>4.6399999999999997</v>
      </c>
      <c r="P331">
        <v>1.31</v>
      </c>
      <c r="Q331">
        <v>35.6</v>
      </c>
      <c r="R331">
        <v>3.21</v>
      </c>
    </row>
    <row r="332" spans="1:18">
      <c r="A332">
        <v>57</v>
      </c>
      <c r="B332">
        <v>1</v>
      </c>
      <c r="C332">
        <v>25.680074999999999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16.79</v>
      </c>
      <c r="M332">
        <v>12.06</v>
      </c>
      <c r="N332">
        <v>15.44</v>
      </c>
      <c r="O332">
        <v>0.78</v>
      </c>
      <c r="P332">
        <v>0.3</v>
      </c>
      <c r="Q332">
        <v>27.8</v>
      </c>
      <c r="R332">
        <v>3.01</v>
      </c>
    </row>
    <row r="333" spans="1:18">
      <c r="A333">
        <v>66</v>
      </c>
      <c r="B333">
        <v>1</v>
      </c>
      <c r="C333">
        <v>26.078972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77.459999999999994</v>
      </c>
      <c r="M333">
        <v>299.56</v>
      </c>
      <c r="N333">
        <v>268.02999999999997</v>
      </c>
      <c r="O333">
        <v>1.1200000000000001</v>
      </c>
      <c r="P333">
        <v>3.97</v>
      </c>
      <c r="Q333">
        <v>24.06</v>
      </c>
      <c r="R333">
        <v>6.9</v>
      </c>
    </row>
    <row r="334" spans="1:18">
      <c r="A334">
        <v>62</v>
      </c>
      <c r="B334">
        <v>1</v>
      </c>
      <c r="C334">
        <v>19.897959</v>
      </c>
      <c r="D334">
        <v>0</v>
      </c>
      <c r="E334">
        <v>1</v>
      </c>
      <c r="F334">
        <v>0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43.21</v>
      </c>
      <c r="M334">
        <v>56.34</v>
      </c>
      <c r="N334">
        <v>132.12</v>
      </c>
      <c r="O334">
        <v>0.43</v>
      </c>
      <c r="P334">
        <v>0.18</v>
      </c>
      <c r="Q334">
        <v>27.18</v>
      </c>
      <c r="R334">
        <v>6.58</v>
      </c>
    </row>
    <row r="335" spans="1:18">
      <c r="A335">
        <v>65</v>
      </c>
      <c r="B335">
        <v>1</v>
      </c>
      <c r="C335">
        <v>23.733238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37.78</v>
      </c>
      <c r="M335">
        <v>21.31</v>
      </c>
      <c r="N335">
        <v>17.77</v>
      </c>
      <c r="O335">
        <v>1.2</v>
      </c>
      <c r="P335">
        <v>0.1</v>
      </c>
      <c r="Q335">
        <v>28.85</v>
      </c>
      <c r="R335">
        <v>2.5099999999999998</v>
      </c>
    </row>
    <row r="336" spans="1:18">
      <c r="A336">
        <v>61</v>
      </c>
      <c r="B336">
        <v>1</v>
      </c>
      <c r="C336">
        <v>28.373702999999999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350.3</v>
      </c>
      <c r="M336">
        <v>10154.280000000001</v>
      </c>
      <c r="N336">
        <v>2786.65</v>
      </c>
      <c r="O336">
        <v>3.64</v>
      </c>
      <c r="P336">
        <v>0.69</v>
      </c>
      <c r="Q336">
        <v>26.38</v>
      </c>
      <c r="R336">
        <v>13.14</v>
      </c>
    </row>
    <row r="337" spans="1:18">
      <c r="A337">
        <v>60</v>
      </c>
      <c r="B337">
        <v>1</v>
      </c>
      <c r="C337">
        <v>23.051753999999999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21.81</v>
      </c>
      <c r="M337">
        <v>4.41</v>
      </c>
      <c r="N337">
        <v>28.19</v>
      </c>
      <c r="O337">
        <v>0.16</v>
      </c>
      <c r="P337">
        <v>0.28000000000000003</v>
      </c>
      <c r="Q337">
        <v>30.73</v>
      </c>
      <c r="R337">
        <v>6.52</v>
      </c>
    </row>
    <row r="338" spans="1:18">
      <c r="A338">
        <v>65</v>
      </c>
      <c r="B338">
        <v>1</v>
      </c>
      <c r="C338">
        <v>29.745808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15.78</v>
      </c>
      <c r="M338">
        <v>7.36</v>
      </c>
      <c r="N338">
        <v>7.54</v>
      </c>
      <c r="O338">
        <v>0.98</v>
      </c>
      <c r="P338">
        <v>0.28999999999999998</v>
      </c>
      <c r="Q338">
        <v>31.78</v>
      </c>
      <c r="R338">
        <v>2.48</v>
      </c>
    </row>
    <row r="339" spans="1:18">
      <c r="A339">
        <v>63</v>
      </c>
      <c r="B339">
        <v>1</v>
      </c>
      <c r="C339">
        <v>25.510204000000002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30.89</v>
      </c>
      <c r="M339">
        <v>21.66</v>
      </c>
      <c r="N339">
        <v>53.49</v>
      </c>
      <c r="O339">
        <v>0.41</v>
      </c>
      <c r="P339">
        <v>0.84</v>
      </c>
      <c r="Q339">
        <v>27.65</v>
      </c>
      <c r="R339">
        <v>1.93</v>
      </c>
    </row>
    <row r="340" spans="1:18">
      <c r="A340">
        <v>69</v>
      </c>
      <c r="B340">
        <v>1</v>
      </c>
      <c r="C340">
        <v>22.985396999999999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37.299999999999997</v>
      </c>
      <c r="M340">
        <v>7.03</v>
      </c>
      <c r="N340">
        <v>88.45</v>
      </c>
      <c r="O340">
        <v>0.08</v>
      </c>
      <c r="P340">
        <v>0.28999999999999998</v>
      </c>
      <c r="Q340">
        <v>31.62</v>
      </c>
      <c r="R340">
        <v>9.9600000000000009</v>
      </c>
    </row>
    <row r="341" spans="1:18">
      <c r="A341">
        <v>37</v>
      </c>
      <c r="B341">
        <v>0</v>
      </c>
      <c r="C341">
        <v>31.25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75.27</v>
      </c>
      <c r="M341">
        <v>230</v>
      </c>
      <c r="N341">
        <v>78.319999999999993</v>
      </c>
      <c r="O341">
        <v>2.94</v>
      </c>
      <c r="P341">
        <v>0.68</v>
      </c>
      <c r="Q341">
        <v>31.04</v>
      </c>
      <c r="R341">
        <v>7.54</v>
      </c>
    </row>
    <row r="342" spans="1:18">
      <c r="A342">
        <v>40</v>
      </c>
      <c r="B342">
        <v>0</v>
      </c>
      <c r="C342">
        <v>19.628264999999999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71.11</v>
      </c>
      <c r="M342">
        <v>131.85</v>
      </c>
      <c r="N342">
        <v>46.2</v>
      </c>
      <c r="O342">
        <v>2.85</v>
      </c>
      <c r="P342">
        <v>0.48</v>
      </c>
      <c r="Q342">
        <v>29.39</v>
      </c>
      <c r="R342">
        <v>7.77</v>
      </c>
    </row>
    <row r="343" spans="1:18">
      <c r="A343">
        <v>32</v>
      </c>
      <c r="B343">
        <v>1</v>
      </c>
      <c r="C343">
        <v>26.989619999999999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69.290000000000006</v>
      </c>
      <c r="M343">
        <v>161.69999999999999</v>
      </c>
      <c r="N343">
        <v>149.53</v>
      </c>
      <c r="O343">
        <v>1.08</v>
      </c>
      <c r="P343">
        <v>0.46</v>
      </c>
      <c r="Q343">
        <v>30.36</v>
      </c>
      <c r="R343">
        <v>7.14</v>
      </c>
    </row>
    <row r="344" spans="1:18">
      <c r="A344">
        <v>38</v>
      </c>
      <c r="B344">
        <v>0</v>
      </c>
      <c r="C344">
        <v>21.453572999999999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41.5</v>
      </c>
      <c r="M344">
        <v>22.95</v>
      </c>
      <c r="N344">
        <v>62.39</v>
      </c>
      <c r="O344">
        <v>0.37</v>
      </c>
      <c r="P344">
        <v>0.39</v>
      </c>
      <c r="Q344">
        <v>30.06</v>
      </c>
      <c r="R344">
        <v>6</v>
      </c>
    </row>
    <row r="345" spans="1:18">
      <c r="A345">
        <v>52</v>
      </c>
      <c r="B345">
        <v>0</v>
      </c>
      <c r="C345">
        <v>35.338593000000003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47.82</v>
      </c>
      <c r="M345">
        <v>42.47</v>
      </c>
      <c r="N345">
        <v>169.06</v>
      </c>
      <c r="O345">
        <v>0.25</v>
      </c>
      <c r="P345">
        <v>0.31</v>
      </c>
      <c r="Q345">
        <v>30.73</v>
      </c>
      <c r="R345">
        <v>9.34</v>
      </c>
    </row>
    <row r="346" spans="1:18">
      <c r="A346">
        <v>40</v>
      </c>
      <c r="B346">
        <v>0</v>
      </c>
      <c r="C346">
        <v>25.099499999999999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21</v>
      </c>
      <c r="M346">
        <v>16.649999999999999</v>
      </c>
      <c r="N346">
        <v>19.12</v>
      </c>
      <c r="O346">
        <v>0.87</v>
      </c>
      <c r="P346">
        <v>0.49</v>
      </c>
      <c r="Q346">
        <v>32.5</v>
      </c>
      <c r="R346">
        <v>4.41</v>
      </c>
    </row>
    <row r="347" spans="1:18">
      <c r="A347">
        <v>35</v>
      </c>
      <c r="B347">
        <v>0</v>
      </c>
      <c r="C347">
        <v>33.298650000000002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46.75</v>
      </c>
      <c r="M347">
        <v>6.19</v>
      </c>
      <c r="N347">
        <v>12.29</v>
      </c>
      <c r="O347">
        <v>0.5</v>
      </c>
      <c r="P347">
        <v>0.12</v>
      </c>
      <c r="Q347">
        <v>24.31</v>
      </c>
      <c r="R347">
        <v>8.0500000000000007</v>
      </c>
    </row>
    <row r="348" spans="1:18">
      <c r="A348">
        <v>27</v>
      </c>
      <c r="B348">
        <v>1</v>
      </c>
      <c r="C348">
        <v>18.590123999999999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209.2</v>
      </c>
      <c r="M348">
        <v>3377.47</v>
      </c>
      <c r="N348">
        <v>3853.96</v>
      </c>
      <c r="O348">
        <v>0.88</v>
      </c>
      <c r="P348">
        <v>0.52</v>
      </c>
      <c r="Q348">
        <v>29.06</v>
      </c>
      <c r="R348">
        <v>33.39</v>
      </c>
    </row>
    <row r="349" spans="1:18">
      <c r="A349">
        <v>44</v>
      </c>
      <c r="B349">
        <v>0</v>
      </c>
      <c r="C349">
        <v>21.501885999999999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229.78</v>
      </c>
      <c r="M349">
        <v>3854.71</v>
      </c>
      <c r="N349">
        <v>2732.18</v>
      </c>
      <c r="O349">
        <v>1.41</v>
      </c>
      <c r="P349">
        <v>0.6</v>
      </c>
      <c r="Q349">
        <v>29.87</v>
      </c>
      <c r="R349">
        <v>25.42</v>
      </c>
    </row>
    <row r="350" spans="1:18">
      <c r="A350">
        <v>44</v>
      </c>
      <c r="B350">
        <v>0</v>
      </c>
      <c r="C350">
        <v>20.324438000000001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45.17</v>
      </c>
      <c r="M350">
        <v>66.680000000000007</v>
      </c>
      <c r="N350">
        <v>97.47</v>
      </c>
      <c r="O350">
        <v>0.68</v>
      </c>
      <c r="P350">
        <v>2.0499999999999998</v>
      </c>
      <c r="Q350">
        <v>29.82</v>
      </c>
      <c r="R350">
        <v>6</v>
      </c>
    </row>
    <row r="351" spans="1:18">
      <c r="A351">
        <v>37</v>
      </c>
      <c r="B351">
        <v>0</v>
      </c>
      <c r="C351">
        <v>21.231204999999999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63.19</v>
      </c>
      <c r="M351">
        <v>71.930000000000007</v>
      </c>
      <c r="N351">
        <v>279.26</v>
      </c>
      <c r="O351">
        <v>0.26</v>
      </c>
      <c r="P351">
        <v>0.32</v>
      </c>
      <c r="Q351">
        <v>29.29</v>
      </c>
      <c r="R351">
        <v>11.79</v>
      </c>
    </row>
    <row r="352" spans="1:18">
      <c r="A352">
        <v>42</v>
      </c>
      <c r="B352">
        <v>0</v>
      </c>
      <c r="C352">
        <v>25.390625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39.24</v>
      </c>
      <c r="M352">
        <v>28.62</v>
      </c>
      <c r="N352">
        <v>32.21</v>
      </c>
      <c r="O352">
        <v>0.89</v>
      </c>
      <c r="P352">
        <v>0.48</v>
      </c>
      <c r="Q352">
        <v>28</v>
      </c>
      <c r="R352">
        <v>5.0999999999999996</v>
      </c>
    </row>
    <row r="353" spans="1:18">
      <c r="A353">
        <v>37</v>
      </c>
      <c r="B353">
        <v>0</v>
      </c>
      <c r="C353">
        <v>44.581023999999999</v>
      </c>
      <c r="D353">
        <v>0</v>
      </c>
      <c r="E353">
        <v>0</v>
      </c>
      <c r="F353">
        <v>1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309.56</v>
      </c>
      <c r="M353">
        <v>2763.4</v>
      </c>
      <c r="N353">
        <v>7117.73</v>
      </c>
      <c r="O353">
        <v>0.39</v>
      </c>
      <c r="P353">
        <v>0.51</v>
      </c>
      <c r="Q353">
        <v>27.1</v>
      </c>
      <c r="R353">
        <v>24.73</v>
      </c>
    </row>
    <row r="354" spans="1:18">
      <c r="A354">
        <v>40</v>
      </c>
      <c r="B354">
        <v>0</v>
      </c>
      <c r="C354">
        <v>20.82094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24.85</v>
      </c>
      <c r="M354">
        <v>27.8</v>
      </c>
      <c r="N354">
        <v>25.84</v>
      </c>
      <c r="O354">
        <v>1.08</v>
      </c>
      <c r="P354">
        <v>0.34</v>
      </c>
      <c r="Q354">
        <v>29.99</v>
      </c>
      <c r="R354">
        <v>6.2</v>
      </c>
    </row>
    <row r="355" spans="1:18">
      <c r="A355">
        <v>43</v>
      </c>
      <c r="B355">
        <v>0</v>
      </c>
      <c r="C355">
        <v>27.968015999999999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57.91</v>
      </c>
      <c r="M355">
        <v>50.68</v>
      </c>
      <c r="N355">
        <v>89.42</v>
      </c>
      <c r="O355">
        <v>0.56999999999999995</v>
      </c>
      <c r="P355">
        <v>0.4</v>
      </c>
      <c r="Q355">
        <v>31.53</v>
      </c>
      <c r="R355">
        <v>6.55</v>
      </c>
    </row>
    <row r="356" spans="1:18">
      <c r="A356">
        <v>33</v>
      </c>
      <c r="B356">
        <v>0</v>
      </c>
      <c r="C356">
        <v>26.5625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62.76</v>
      </c>
      <c r="M356">
        <v>138.52000000000001</v>
      </c>
      <c r="N356">
        <v>153.09</v>
      </c>
      <c r="O356">
        <v>0.9</v>
      </c>
      <c r="P356">
        <v>0.64</v>
      </c>
      <c r="Q356">
        <v>29.26</v>
      </c>
      <c r="R356">
        <v>7.36</v>
      </c>
    </row>
    <row r="357" spans="1:18">
      <c r="A357">
        <v>27</v>
      </c>
      <c r="B357">
        <v>0</v>
      </c>
      <c r="C357">
        <v>19.921875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343.31</v>
      </c>
      <c r="M357">
        <v>4467.6899999999996</v>
      </c>
      <c r="N357">
        <v>6154.49</v>
      </c>
      <c r="O357">
        <v>0.73</v>
      </c>
      <c r="P357">
        <v>0.15</v>
      </c>
      <c r="Q357">
        <v>23.79</v>
      </c>
      <c r="R357">
        <v>33.979999999999997</v>
      </c>
    </row>
    <row r="358" spans="1:18">
      <c r="A358">
        <v>39</v>
      </c>
      <c r="B358">
        <v>1</v>
      </c>
      <c r="C358">
        <v>22.571047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41.56</v>
      </c>
      <c r="M358">
        <v>71.88</v>
      </c>
      <c r="N358">
        <v>73.59</v>
      </c>
      <c r="O358">
        <v>0.98</v>
      </c>
      <c r="P358">
        <v>1.22</v>
      </c>
      <c r="Q358">
        <v>30.18</v>
      </c>
      <c r="R358">
        <v>6.13</v>
      </c>
    </row>
    <row r="359" spans="1:18">
      <c r="A359">
        <v>39</v>
      </c>
      <c r="B359">
        <v>0</v>
      </c>
      <c r="C359">
        <v>26.037495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13.67</v>
      </c>
      <c r="M359">
        <v>9.1300000000000008</v>
      </c>
      <c r="N359">
        <v>1.81</v>
      </c>
      <c r="O359">
        <v>5.04</v>
      </c>
      <c r="P359">
        <v>0.44</v>
      </c>
      <c r="Q359">
        <v>32.159999999999997</v>
      </c>
      <c r="R359">
        <v>2.2599999999999998</v>
      </c>
    </row>
    <row r="360" spans="1:18">
      <c r="A360">
        <v>35</v>
      </c>
      <c r="B360">
        <v>0</v>
      </c>
      <c r="C360">
        <v>21.786493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53.53</v>
      </c>
      <c r="M360">
        <v>33.21</v>
      </c>
      <c r="N360">
        <v>77.47</v>
      </c>
      <c r="O360">
        <v>0.43</v>
      </c>
      <c r="P360">
        <v>0.44</v>
      </c>
      <c r="Q360">
        <v>30.86</v>
      </c>
      <c r="R360">
        <v>10.65</v>
      </c>
    </row>
    <row r="361" spans="1:18">
      <c r="A361">
        <v>25</v>
      </c>
      <c r="B361">
        <v>0</v>
      </c>
      <c r="C361">
        <v>19.571681999999999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122.03</v>
      </c>
      <c r="M361">
        <v>1129.78</v>
      </c>
      <c r="N361">
        <v>1359.74</v>
      </c>
      <c r="O361">
        <v>0.83</v>
      </c>
      <c r="P361">
        <v>0.28000000000000003</v>
      </c>
      <c r="Q361">
        <v>31.65</v>
      </c>
      <c r="R361">
        <v>25.09</v>
      </c>
    </row>
    <row r="362" spans="1:18">
      <c r="A362">
        <v>48</v>
      </c>
      <c r="B362">
        <v>0</v>
      </c>
      <c r="C362">
        <v>29.752065999999999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19.850000000000001</v>
      </c>
      <c r="M362">
        <v>12.51</v>
      </c>
      <c r="N362">
        <v>9.17</v>
      </c>
      <c r="O362">
        <v>1.36</v>
      </c>
      <c r="P362">
        <v>0.54</v>
      </c>
      <c r="Q362">
        <v>29.72</v>
      </c>
      <c r="R362">
        <v>4.2</v>
      </c>
    </row>
    <row r="363" spans="1:18">
      <c r="A363">
        <v>54</v>
      </c>
      <c r="B363">
        <v>1</v>
      </c>
      <c r="C363">
        <v>23.140495000000001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80.73</v>
      </c>
      <c r="M363">
        <v>1088.74</v>
      </c>
      <c r="N363">
        <v>329.65</v>
      </c>
      <c r="O363">
        <v>3.3</v>
      </c>
      <c r="P363">
        <v>0.66</v>
      </c>
      <c r="Q363">
        <v>30.41</v>
      </c>
      <c r="R363">
        <v>7.06</v>
      </c>
    </row>
    <row r="364" spans="1:18">
      <c r="A364">
        <v>31</v>
      </c>
      <c r="B364">
        <v>0</v>
      </c>
      <c r="C364">
        <v>26.297577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53.38</v>
      </c>
      <c r="M364">
        <v>56.86</v>
      </c>
      <c r="N364">
        <v>113.06</v>
      </c>
      <c r="O364">
        <v>0.5</v>
      </c>
      <c r="P364">
        <v>0.17</v>
      </c>
      <c r="Q364">
        <v>32.020000000000003</v>
      </c>
      <c r="R364">
        <v>8.27</v>
      </c>
    </row>
    <row r="365" spans="1:18">
      <c r="A365">
        <v>39</v>
      </c>
      <c r="B365">
        <v>0</v>
      </c>
      <c r="C365">
        <v>23.388687000000001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196.38</v>
      </c>
      <c r="M365">
        <v>1612.85</v>
      </c>
      <c r="N365">
        <v>3916.55</v>
      </c>
      <c r="O365">
        <v>0.41</v>
      </c>
      <c r="P365">
        <v>0.98</v>
      </c>
      <c r="Q365">
        <v>26.62</v>
      </c>
      <c r="R365">
        <v>17.25</v>
      </c>
    </row>
    <row r="366" spans="1:18">
      <c r="A366">
        <v>45</v>
      </c>
      <c r="B366">
        <v>0</v>
      </c>
      <c r="C366">
        <v>28.303850000000001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148.54</v>
      </c>
      <c r="M366">
        <v>470.74</v>
      </c>
      <c r="N366">
        <v>941.12</v>
      </c>
      <c r="O366">
        <v>0.5</v>
      </c>
      <c r="P366">
        <v>0.1</v>
      </c>
      <c r="Q366">
        <v>21.85</v>
      </c>
      <c r="R366">
        <v>17.03</v>
      </c>
    </row>
    <row r="367" spans="1:18">
      <c r="A367">
        <v>32</v>
      </c>
      <c r="B367">
        <v>0</v>
      </c>
      <c r="C367">
        <v>24.840979999999998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456.22</v>
      </c>
      <c r="M367">
        <v>8150.92</v>
      </c>
      <c r="N367">
        <v>3116.52</v>
      </c>
      <c r="O367">
        <v>2.62</v>
      </c>
      <c r="P367">
        <v>0.14000000000000001</v>
      </c>
      <c r="Q367">
        <v>23.67</v>
      </c>
      <c r="R367">
        <v>25.19</v>
      </c>
    </row>
    <row r="368" spans="1:18">
      <c r="A368">
        <v>46</v>
      </c>
      <c r="B368">
        <v>0</v>
      </c>
      <c r="C368">
        <v>27.885186999999998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63.86</v>
      </c>
      <c r="M368">
        <v>185.32</v>
      </c>
      <c r="N368">
        <v>197.93</v>
      </c>
      <c r="O368">
        <v>0.94</v>
      </c>
      <c r="P368">
        <v>0.42</v>
      </c>
      <c r="Q368">
        <v>27.58</v>
      </c>
      <c r="R368">
        <v>7.53</v>
      </c>
    </row>
    <row r="369" spans="1:18">
      <c r="A369">
        <v>23</v>
      </c>
      <c r="B369">
        <v>1</v>
      </c>
      <c r="C369">
        <v>31.018090999999998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131.88</v>
      </c>
      <c r="M369">
        <v>2534.16</v>
      </c>
      <c r="N369">
        <v>1644.65</v>
      </c>
      <c r="O369">
        <v>1.54</v>
      </c>
      <c r="P369">
        <v>1.08</v>
      </c>
      <c r="Q369">
        <v>27.96</v>
      </c>
      <c r="R369">
        <v>22.92</v>
      </c>
    </row>
    <row r="370" spans="1:18">
      <c r="A370">
        <v>42</v>
      </c>
      <c r="B370">
        <v>0</v>
      </c>
      <c r="C370">
        <v>21.641273000000002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81.489999999999995</v>
      </c>
      <c r="M370">
        <v>213.61</v>
      </c>
      <c r="N370">
        <v>305</v>
      </c>
      <c r="O370">
        <v>0.7</v>
      </c>
      <c r="P370">
        <v>0.25</v>
      </c>
      <c r="Q370">
        <v>30.27</v>
      </c>
      <c r="R370">
        <v>12.12</v>
      </c>
    </row>
    <row r="371" spans="1:18">
      <c r="A371">
        <v>26</v>
      </c>
      <c r="B371">
        <v>0</v>
      </c>
      <c r="C371">
        <v>23.456558000000001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60.62</v>
      </c>
      <c r="M371">
        <v>71.760000000000005</v>
      </c>
      <c r="N371">
        <v>157.68</v>
      </c>
      <c r="O371">
        <v>0.46</v>
      </c>
      <c r="P371">
        <v>0.31</v>
      </c>
      <c r="Q371">
        <v>26.41</v>
      </c>
      <c r="R371">
        <v>14.84</v>
      </c>
    </row>
    <row r="372" spans="1:18">
      <c r="A372">
        <v>53</v>
      </c>
      <c r="B372">
        <v>1</v>
      </c>
      <c r="C372">
        <v>27.732299999999999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35.58</v>
      </c>
      <c r="M372">
        <v>43.27</v>
      </c>
      <c r="N372">
        <v>28.09</v>
      </c>
      <c r="O372">
        <v>1.54</v>
      </c>
      <c r="P372">
        <v>0.26</v>
      </c>
      <c r="Q372">
        <v>31.15</v>
      </c>
      <c r="R372">
        <v>3.58</v>
      </c>
    </row>
    <row r="373" spans="1:18">
      <c r="A373">
        <v>24</v>
      </c>
      <c r="B373">
        <v>0</v>
      </c>
      <c r="C373">
        <v>23.711845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43.66</v>
      </c>
      <c r="M373">
        <v>101.84</v>
      </c>
      <c r="N373">
        <v>145.84</v>
      </c>
      <c r="O373">
        <v>0.7</v>
      </c>
      <c r="P373">
        <v>0.45</v>
      </c>
      <c r="Q373">
        <v>29.29</v>
      </c>
      <c r="R373">
        <v>11.76</v>
      </c>
    </row>
    <row r="374" spans="1:18">
      <c r="A374">
        <v>54</v>
      </c>
      <c r="B374">
        <v>1</v>
      </c>
      <c r="C374">
        <v>26.491508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42.37</v>
      </c>
      <c r="M374">
        <v>128.44</v>
      </c>
      <c r="N374">
        <v>55.65</v>
      </c>
      <c r="O374">
        <v>2.31</v>
      </c>
      <c r="P374">
        <v>0.3</v>
      </c>
      <c r="Q374">
        <v>30.15</v>
      </c>
      <c r="R374">
        <v>5.73</v>
      </c>
    </row>
    <row r="375" spans="1:18">
      <c r="A375">
        <v>43</v>
      </c>
      <c r="B375">
        <v>0</v>
      </c>
      <c r="C375">
        <v>23.147255000000001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326.10000000000002</v>
      </c>
      <c r="M375">
        <v>4661.1899999999996</v>
      </c>
      <c r="N375">
        <v>6953.17</v>
      </c>
      <c r="O375">
        <v>0.67</v>
      </c>
      <c r="P375">
        <v>0.19</v>
      </c>
      <c r="Q375">
        <v>23.89</v>
      </c>
      <c r="R375">
        <v>32.78</v>
      </c>
    </row>
    <row r="376" spans="1:18">
      <c r="A376">
        <v>53</v>
      </c>
      <c r="B376">
        <v>0</v>
      </c>
      <c r="C376">
        <v>29.296875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46.28</v>
      </c>
      <c r="M376">
        <v>24.46</v>
      </c>
      <c r="N376">
        <v>48.72</v>
      </c>
      <c r="O376">
        <v>0.5</v>
      </c>
      <c r="P376">
        <v>0.27</v>
      </c>
      <c r="Q376">
        <v>32.119999999999997</v>
      </c>
      <c r="R376">
        <v>7.39</v>
      </c>
    </row>
    <row r="377" spans="1:18">
      <c r="A377">
        <v>54</v>
      </c>
      <c r="B377">
        <v>0</v>
      </c>
      <c r="C377">
        <v>34.105849999999997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443.09</v>
      </c>
      <c r="M377">
        <v>15444.07</v>
      </c>
      <c r="N377">
        <v>3124.84</v>
      </c>
      <c r="O377">
        <v>4.9400000000000004</v>
      </c>
      <c r="P377">
        <v>0.26</v>
      </c>
      <c r="Q377">
        <v>26.6</v>
      </c>
      <c r="R377">
        <v>27.84</v>
      </c>
    </row>
    <row r="378" spans="1:18">
      <c r="A378">
        <v>23</v>
      </c>
      <c r="B378">
        <v>1</v>
      </c>
      <c r="C378">
        <v>40.569595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57.86</v>
      </c>
      <c r="M378">
        <v>498.55</v>
      </c>
      <c r="N378">
        <v>202.15</v>
      </c>
      <c r="O378">
        <v>2.4700000000000002</v>
      </c>
      <c r="P378">
        <v>0.57999999999999996</v>
      </c>
      <c r="Q378">
        <v>29.52</v>
      </c>
      <c r="R378">
        <v>11.45</v>
      </c>
    </row>
    <row r="379" spans="1:18">
      <c r="A379">
        <v>59</v>
      </c>
      <c r="B379">
        <v>0</v>
      </c>
      <c r="C379">
        <v>27.942142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47.94</v>
      </c>
      <c r="M379">
        <v>92.49</v>
      </c>
      <c r="N379">
        <v>102.77</v>
      </c>
      <c r="O379">
        <v>0.9</v>
      </c>
      <c r="P379">
        <v>0.3</v>
      </c>
      <c r="Q379">
        <v>31.52</v>
      </c>
      <c r="R379">
        <v>5.63</v>
      </c>
    </row>
    <row r="380" spans="1:18">
      <c r="A380">
        <v>32</v>
      </c>
      <c r="B380">
        <v>0</v>
      </c>
      <c r="C380">
        <v>27.513386000000001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63.79</v>
      </c>
      <c r="M380">
        <v>251.62</v>
      </c>
      <c r="N380">
        <v>187.36</v>
      </c>
      <c r="O380">
        <v>1.34</v>
      </c>
      <c r="P380">
        <v>0.25</v>
      </c>
      <c r="Q380">
        <v>32.630000000000003</v>
      </c>
      <c r="R380">
        <v>11.43</v>
      </c>
    </row>
    <row r="381" spans="1:18">
      <c r="A381">
        <v>55</v>
      </c>
      <c r="B381">
        <v>0</v>
      </c>
      <c r="C381">
        <v>24.238227999999999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92.83</v>
      </c>
      <c r="M381">
        <v>309.52999999999997</v>
      </c>
      <c r="N381">
        <v>588.41999999999996</v>
      </c>
      <c r="O381">
        <v>0.53</v>
      </c>
      <c r="P381">
        <v>0.43</v>
      </c>
      <c r="Q381">
        <v>32.1</v>
      </c>
      <c r="R381">
        <v>12.09</v>
      </c>
    </row>
    <row r="382" spans="1:18">
      <c r="A382">
        <v>53</v>
      </c>
      <c r="B382">
        <v>1</v>
      </c>
      <c r="C382">
        <v>27.70083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19.350000000000001</v>
      </c>
      <c r="M382">
        <v>14.09</v>
      </c>
      <c r="N382">
        <v>4.5999999999999996</v>
      </c>
      <c r="O382">
        <v>3.06</v>
      </c>
      <c r="P382">
        <v>0.36</v>
      </c>
      <c r="Q382">
        <v>28.3</v>
      </c>
      <c r="R382">
        <v>2.7</v>
      </c>
    </row>
    <row r="383" spans="1:18">
      <c r="A383">
        <v>36</v>
      </c>
      <c r="B383">
        <v>0</v>
      </c>
      <c r="C383">
        <v>29.411764000000002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19.25</v>
      </c>
      <c r="M383">
        <v>27.28</v>
      </c>
      <c r="N383">
        <v>6.13</v>
      </c>
      <c r="O383">
        <v>4.45</v>
      </c>
      <c r="P383">
        <v>0.53</v>
      </c>
      <c r="Q383">
        <v>29.87</v>
      </c>
      <c r="R383">
        <v>4.37</v>
      </c>
    </row>
    <row r="384" spans="1:18">
      <c r="A384">
        <v>34</v>
      </c>
      <c r="B384">
        <v>0</v>
      </c>
      <c r="C384">
        <v>18.666665999999999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54.6</v>
      </c>
      <c r="M384">
        <v>46.49</v>
      </c>
      <c r="N384">
        <v>225.74</v>
      </c>
      <c r="O384">
        <v>0.21</v>
      </c>
      <c r="P384">
        <v>0.32</v>
      </c>
      <c r="Q384">
        <v>29.17</v>
      </c>
      <c r="R384">
        <v>13.33</v>
      </c>
    </row>
    <row r="385" spans="1:18">
      <c r="A385">
        <v>45</v>
      </c>
      <c r="B385">
        <v>0</v>
      </c>
      <c r="C385">
        <v>21.644120999999998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39.46</v>
      </c>
      <c r="M385">
        <v>26.62</v>
      </c>
      <c r="N385">
        <v>102.88</v>
      </c>
      <c r="O385">
        <v>0.26</v>
      </c>
      <c r="P385">
        <v>0.34</v>
      </c>
      <c r="Q385">
        <v>30.92</v>
      </c>
      <c r="R385">
        <v>6.44</v>
      </c>
    </row>
    <row r="386" spans="1:18">
      <c r="A386">
        <v>22</v>
      </c>
      <c r="B386">
        <v>1</v>
      </c>
      <c r="C386">
        <v>21.604105000000001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39.25</v>
      </c>
      <c r="M386">
        <v>92.69</v>
      </c>
      <c r="N386">
        <v>62.04</v>
      </c>
      <c r="O386">
        <v>1.49</v>
      </c>
      <c r="P386">
        <v>0.21</v>
      </c>
      <c r="Q386">
        <v>29.61</v>
      </c>
      <c r="R386">
        <v>7.65</v>
      </c>
    </row>
    <row r="387" spans="1:18">
      <c r="A387">
        <v>41</v>
      </c>
      <c r="B387">
        <v>0</v>
      </c>
      <c r="C387">
        <v>21.928864000000001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52.58</v>
      </c>
      <c r="M387">
        <v>67.61</v>
      </c>
      <c r="N387">
        <v>181.49</v>
      </c>
      <c r="O387">
        <v>0.37</v>
      </c>
      <c r="P387">
        <v>0.26</v>
      </c>
      <c r="Q387">
        <v>29.27</v>
      </c>
      <c r="R387">
        <v>6.91</v>
      </c>
    </row>
    <row r="388" spans="1:18">
      <c r="A388">
        <v>53</v>
      </c>
      <c r="B388">
        <v>0</v>
      </c>
      <c r="C388">
        <v>24.243919999999999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55.7</v>
      </c>
      <c r="M388">
        <v>79.44</v>
      </c>
      <c r="N388">
        <v>147.4</v>
      </c>
      <c r="O388">
        <v>0.54</v>
      </c>
      <c r="P388">
        <v>0.25</v>
      </c>
      <c r="Q388">
        <v>26.84</v>
      </c>
      <c r="R388">
        <v>8.82</v>
      </c>
    </row>
    <row r="389" spans="1:18">
      <c r="A389">
        <v>34</v>
      </c>
      <c r="B389">
        <v>1</v>
      </c>
      <c r="C389">
        <v>23.781213999999999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19.350000000000001</v>
      </c>
      <c r="M389">
        <v>14.09</v>
      </c>
      <c r="N389">
        <v>4.5999999999999996</v>
      </c>
      <c r="O389">
        <v>3.06</v>
      </c>
      <c r="P389">
        <v>0.36</v>
      </c>
      <c r="Q389">
        <v>28.3</v>
      </c>
      <c r="R389">
        <v>2.7</v>
      </c>
    </row>
    <row r="390" spans="1:18">
      <c r="A390">
        <v>37</v>
      </c>
      <c r="B390">
        <v>0</v>
      </c>
      <c r="C390">
        <v>20.82094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95.03</v>
      </c>
      <c r="M390">
        <v>291.05</v>
      </c>
      <c r="N390">
        <v>365.16</v>
      </c>
      <c r="O390">
        <v>0.8</v>
      </c>
      <c r="P390">
        <v>0.75</v>
      </c>
      <c r="Q390">
        <v>32.049999999999997</v>
      </c>
      <c r="R390">
        <v>9.9</v>
      </c>
    </row>
    <row r="391" spans="1:18">
      <c r="A391">
        <v>26</v>
      </c>
      <c r="B391">
        <v>0</v>
      </c>
      <c r="C391">
        <v>22.265625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31.01</v>
      </c>
      <c r="M391">
        <v>29.02</v>
      </c>
      <c r="N391">
        <v>67.58</v>
      </c>
      <c r="O391">
        <v>0.43</v>
      </c>
      <c r="P391">
        <v>0.51</v>
      </c>
      <c r="Q391">
        <v>31.09</v>
      </c>
      <c r="R391">
        <v>7.46</v>
      </c>
    </row>
    <row r="392" spans="1:18">
      <c r="A392">
        <v>46</v>
      </c>
      <c r="B392">
        <v>0</v>
      </c>
      <c r="C392">
        <v>24.801587999999999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24.89</v>
      </c>
      <c r="M392">
        <v>11.69</v>
      </c>
      <c r="N392">
        <v>19.149999999999999</v>
      </c>
      <c r="O392">
        <v>0.61</v>
      </c>
      <c r="P392">
        <v>0.16</v>
      </c>
      <c r="Q392">
        <v>31.05</v>
      </c>
      <c r="R392">
        <v>3.85</v>
      </c>
    </row>
    <row r="393" spans="1:18">
      <c r="A393">
        <v>24</v>
      </c>
      <c r="B393">
        <v>1</v>
      </c>
      <c r="C393">
        <v>19.817677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83.05</v>
      </c>
      <c r="M393">
        <v>254.41</v>
      </c>
      <c r="N393">
        <v>387.93</v>
      </c>
      <c r="O393">
        <v>0.66</v>
      </c>
      <c r="P393">
        <v>0.34</v>
      </c>
      <c r="Q393">
        <v>32.369999999999997</v>
      </c>
      <c r="R393">
        <v>11.34</v>
      </c>
    </row>
    <row r="394" spans="1:18">
      <c r="A394">
        <v>25</v>
      </c>
      <c r="B394">
        <v>0</v>
      </c>
      <c r="C394">
        <v>24.341759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107.09</v>
      </c>
      <c r="M394">
        <v>707.01</v>
      </c>
      <c r="N394">
        <v>488.02</v>
      </c>
      <c r="O394">
        <v>1.45</v>
      </c>
      <c r="P394">
        <v>0.61</v>
      </c>
      <c r="Q394">
        <v>31.12</v>
      </c>
      <c r="R394">
        <v>14.13</v>
      </c>
    </row>
    <row r="395" spans="1:18">
      <c r="A395">
        <v>62</v>
      </c>
      <c r="B395">
        <v>1</v>
      </c>
      <c r="C395">
        <v>29.761906</v>
      </c>
      <c r="D395">
        <v>0</v>
      </c>
      <c r="E395">
        <v>0</v>
      </c>
      <c r="F395">
        <v>1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30.36</v>
      </c>
      <c r="M395">
        <v>33.020000000000003</v>
      </c>
      <c r="N395">
        <v>33.56</v>
      </c>
      <c r="O395">
        <v>0.98</v>
      </c>
      <c r="P395">
        <v>0.3</v>
      </c>
      <c r="Q395">
        <v>29.24</v>
      </c>
      <c r="R395">
        <v>2.14</v>
      </c>
    </row>
    <row r="396" spans="1:18">
      <c r="A396">
        <v>40</v>
      </c>
      <c r="B396">
        <v>0</v>
      </c>
      <c r="C396">
        <v>19.11111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106.41</v>
      </c>
      <c r="M396">
        <v>600.62</v>
      </c>
      <c r="N396">
        <v>725.49</v>
      </c>
      <c r="O396">
        <v>0.83</v>
      </c>
      <c r="P396">
        <v>0.28999999999999998</v>
      </c>
      <c r="Q396">
        <v>29.48</v>
      </c>
      <c r="R396">
        <v>14.96</v>
      </c>
    </row>
    <row r="397" spans="1:18">
      <c r="A397">
        <v>47</v>
      </c>
      <c r="B397">
        <v>1</v>
      </c>
      <c r="C397">
        <v>29.387754000000001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58.31</v>
      </c>
      <c r="M397">
        <v>96.33</v>
      </c>
      <c r="N397">
        <v>136.12</v>
      </c>
      <c r="O397">
        <v>0.71</v>
      </c>
      <c r="P397">
        <v>1.97</v>
      </c>
      <c r="Q397">
        <v>31.39</v>
      </c>
      <c r="R397">
        <v>11.19</v>
      </c>
    </row>
    <row r="398" spans="1:18">
      <c r="A398">
        <v>26</v>
      </c>
      <c r="B398">
        <v>1</v>
      </c>
      <c r="C398">
        <v>29.320988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64.12</v>
      </c>
      <c r="M398">
        <v>190.75</v>
      </c>
      <c r="N398">
        <v>50.8</v>
      </c>
      <c r="O398">
        <v>3.75</v>
      </c>
      <c r="P398">
        <v>0.62</v>
      </c>
      <c r="Q398">
        <v>30.77</v>
      </c>
      <c r="R398">
        <v>15.76</v>
      </c>
    </row>
    <row r="399" spans="1:18">
      <c r="A399">
        <v>33</v>
      </c>
      <c r="B399">
        <v>0</v>
      </c>
      <c r="C399">
        <v>28.125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130.47</v>
      </c>
      <c r="M399">
        <v>2263.23</v>
      </c>
      <c r="N399">
        <v>1179.5</v>
      </c>
      <c r="O399">
        <v>1.92</v>
      </c>
      <c r="P399">
        <v>0.2</v>
      </c>
      <c r="Q399">
        <v>32.770000000000003</v>
      </c>
      <c r="R399">
        <v>10.06</v>
      </c>
    </row>
    <row r="400" spans="1:18">
      <c r="A400">
        <v>30</v>
      </c>
      <c r="B400">
        <v>1</v>
      </c>
      <c r="C400">
        <v>23.095410000000001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33.83</v>
      </c>
      <c r="M400">
        <v>59.28</v>
      </c>
      <c r="N400">
        <v>36.590000000000003</v>
      </c>
      <c r="O400">
        <v>1.62</v>
      </c>
      <c r="P400">
        <v>0.72</v>
      </c>
      <c r="Q400">
        <v>32.18</v>
      </c>
      <c r="R400">
        <v>5.5</v>
      </c>
    </row>
    <row r="401" spans="1:18">
      <c r="A401">
        <v>43</v>
      </c>
      <c r="B401">
        <v>1</v>
      </c>
      <c r="C401">
        <v>25.593737000000001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72.59</v>
      </c>
      <c r="M401">
        <v>259.45</v>
      </c>
      <c r="N401">
        <v>327.23</v>
      </c>
      <c r="O401">
        <v>0.79</v>
      </c>
      <c r="P401">
        <v>0.41</v>
      </c>
      <c r="Q401">
        <v>32.409999999999997</v>
      </c>
      <c r="R401">
        <v>11.7</v>
      </c>
    </row>
    <row r="402" spans="1:18">
      <c r="A402">
        <v>37</v>
      </c>
      <c r="B402">
        <v>0</v>
      </c>
      <c r="C402">
        <v>19.227688000000001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53.63</v>
      </c>
      <c r="M402">
        <v>51.76</v>
      </c>
      <c r="N402">
        <v>119.4</v>
      </c>
      <c r="O402">
        <v>0.43</v>
      </c>
      <c r="P402">
        <v>0.47</v>
      </c>
      <c r="Q402">
        <v>29.84</v>
      </c>
      <c r="R402">
        <v>7.14</v>
      </c>
    </row>
    <row r="403" spans="1:18">
      <c r="A403">
        <v>54</v>
      </c>
      <c r="B403">
        <v>1</v>
      </c>
      <c r="C403">
        <v>24.21875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58.06</v>
      </c>
      <c r="M403">
        <v>438.88</v>
      </c>
      <c r="N403">
        <v>34.39</v>
      </c>
      <c r="O403">
        <v>12.76</v>
      </c>
      <c r="P403">
        <v>0.56999999999999995</v>
      </c>
      <c r="Q403">
        <v>27.31</v>
      </c>
      <c r="R403">
        <v>10.94</v>
      </c>
    </row>
    <row r="404" spans="1:18">
      <c r="A404">
        <v>53</v>
      </c>
      <c r="B404">
        <v>1</v>
      </c>
      <c r="C404">
        <v>26.989619999999999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24.43</v>
      </c>
      <c r="M404">
        <v>36.57</v>
      </c>
      <c r="N404">
        <v>8.6999999999999993</v>
      </c>
      <c r="O404">
        <v>4.2</v>
      </c>
      <c r="P404">
        <v>0.26</v>
      </c>
      <c r="Q404">
        <v>32.82</v>
      </c>
      <c r="R404">
        <v>3.22</v>
      </c>
    </row>
    <row r="405" spans="1:18">
      <c r="A405">
        <v>38</v>
      </c>
      <c r="B405">
        <v>0</v>
      </c>
      <c r="C405">
        <v>29.384675999999999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31.49</v>
      </c>
      <c r="M405">
        <v>28.47</v>
      </c>
      <c r="N405">
        <v>60.74</v>
      </c>
      <c r="O405">
        <v>0.47</v>
      </c>
      <c r="P405">
        <v>0.46</v>
      </c>
      <c r="Q405">
        <v>32.409999999999997</v>
      </c>
      <c r="R405">
        <v>7.04</v>
      </c>
    </row>
    <row r="406" spans="1:18">
      <c r="A406">
        <v>60</v>
      </c>
      <c r="B406">
        <v>1</v>
      </c>
      <c r="C406">
        <v>19.617908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20.96</v>
      </c>
      <c r="M406">
        <v>9.3000000000000007</v>
      </c>
      <c r="N406">
        <v>16.329999999999998</v>
      </c>
      <c r="O406">
        <v>0.56999999999999995</v>
      </c>
      <c r="P406">
        <v>0.28000000000000003</v>
      </c>
      <c r="Q406">
        <v>32.119999999999997</v>
      </c>
      <c r="R406">
        <v>2.61</v>
      </c>
    </row>
    <row r="407" spans="1:18">
      <c r="A407">
        <v>67</v>
      </c>
      <c r="B407">
        <v>1</v>
      </c>
      <c r="C407">
        <v>23.588329999999999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127.93</v>
      </c>
      <c r="M407">
        <v>536.6</v>
      </c>
      <c r="N407">
        <v>847.96</v>
      </c>
      <c r="O407">
        <v>0.63</v>
      </c>
      <c r="P407">
        <v>0.28999999999999998</v>
      </c>
      <c r="Q407">
        <v>31.77</v>
      </c>
      <c r="R407">
        <v>11.54</v>
      </c>
    </row>
    <row r="408" spans="1:18">
      <c r="A408">
        <v>51</v>
      </c>
      <c r="B408">
        <v>1</v>
      </c>
      <c r="C408">
        <v>26.277284999999999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140.56</v>
      </c>
      <c r="M408">
        <v>2867.46</v>
      </c>
      <c r="N408">
        <v>1335.53</v>
      </c>
      <c r="O408">
        <v>2.15</v>
      </c>
      <c r="P408">
        <v>0.51</v>
      </c>
      <c r="Q408">
        <v>30.83</v>
      </c>
      <c r="R408">
        <v>9.7200000000000006</v>
      </c>
    </row>
    <row r="409" spans="1:18">
      <c r="A409">
        <v>50</v>
      </c>
      <c r="B409">
        <v>1</v>
      </c>
      <c r="C409">
        <v>26.173832000000001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369.31</v>
      </c>
      <c r="M409">
        <v>10470.42</v>
      </c>
      <c r="N409">
        <v>5168.99</v>
      </c>
      <c r="O409">
        <v>2.0299999999999998</v>
      </c>
      <c r="P409">
        <v>0.25</v>
      </c>
      <c r="Q409">
        <v>28.11</v>
      </c>
      <c r="R409">
        <v>28.3</v>
      </c>
    </row>
    <row r="410" spans="1:18">
      <c r="A410">
        <v>40</v>
      </c>
      <c r="B410">
        <v>0</v>
      </c>
      <c r="C410">
        <v>27.268004999999999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83.24</v>
      </c>
      <c r="M410">
        <v>694.57</v>
      </c>
      <c r="N410">
        <v>133.74</v>
      </c>
      <c r="O410">
        <v>5.19</v>
      </c>
      <c r="P410">
        <v>0.37</v>
      </c>
      <c r="Q410">
        <v>32.56</v>
      </c>
      <c r="R410">
        <v>8.83</v>
      </c>
    </row>
    <row r="411" spans="1:18">
      <c r="A411">
        <v>28</v>
      </c>
      <c r="B411">
        <v>0</v>
      </c>
      <c r="C411">
        <v>22.370943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49.73</v>
      </c>
      <c r="M411">
        <v>166.31</v>
      </c>
      <c r="N411">
        <v>220.38</v>
      </c>
      <c r="O411">
        <v>0.75</v>
      </c>
      <c r="P411">
        <v>0.5</v>
      </c>
      <c r="Q411">
        <v>34.549999999999997</v>
      </c>
      <c r="R411">
        <v>11.86</v>
      </c>
    </row>
    <row r="412" spans="1:18">
      <c r="A412">
        <v>65</v>
      </c>
      <c r="B412">
        <v>1</v>
      </c>
      <c r="C412">
        <v>26.695419999999999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92.54</v>
      </c>
      <c r="M412">
        <v>179.12</v>
      </c>
      <c r="N412">
        <v>448.73</v>
      </c>
      <c r="O412">
        <v>0.4</v>
      </c>
      <c r="P412">
        <v>0.2</v>
      </c>
      <c r="Q412">
        <v>30.11</v>
      </c>
      <c r="R412">
        <v>15.03</v>
      </c>
    </row>
    <row r="413" spans="1:18">
      <c r="A413">
        <v>40</v>
      </c>
      <c r="B413">
        <v>0</v>
      </c>
      <c r="C413">
        <v>21.513859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35.270000000000003</v>
      </c>
      <c r="M413">
        <v>47.39</v>
      </c>
      <c r="N413">
        <v>43.42</v>
      </c>
      <c r="O413">
        <v>1.0900000000000001</v>
      </c>
      <c r="P413">
        <v>0.55000000000000004</v>
      </c>
      <c r="Q413">
        <v>30.46</v>
      </c>
      <c r="R413">
        <v>4.24</v>
      </c>
    </row>
    <row r="414" spans="1:18">
      <c r="A414">
        <v>39</v>
      </c>
      <c r="B414">
        <v>0</v>
      </c>
      <c r="C414">
        <v>24.977042999999998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198.81</v>
      </c>
      <c r="M414">
        <v>1299.8800000000001</v>
      </c>
      <c r="N414">
        <v>1938.66</v>
      </c>
      <c r="O414">
        <v>0.67</v>
      </c>
      <c r="P414">
        <v>0.25</v>
      </c>
      <c r="Q414">
        <v>28.2</v>
      </c>
      <c r="R414">
        <v>29.26</v>
      </c>
    </row>
    <row r="415" spans="1:18">
      <c r="A415">
        <v>38</v>
      </c>
      <c r="B415">
        <v>0</v>
      </c>
      <c r="C415">
        <v>22.862368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45.63</v>
      </c>
      <c r="M415">
        <v>32.89</v>
      </c>
      <c r="N415">
        <v>98.83</v>
      </c>
      <c r="O415">
        <v>0.33</v>
      </c>
      <c r="P415">
        <v>0.93</v>
      </c>
      <c r="Q415">
        <v>32.42</v>
      </c>
      <c r="R415">
        <v>10.39</v>
      </c>
    </row>
    <row r="416" spans="1:18">
      <c r="A416">
        <v>68</v>
      </c>
      <c r="B416">
        <v>1</v>
      </c>
      <c r="C416">
        <v>24.489795999999998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28.77</v>
      </c>
      <c r="M416">
        <v>13.08</v>
      </c>
      <c r="N416">
        <v>17.670000000000002</v>
      </c>
      <c r="O416">
        <v>0.74</v>
      </c>
      <c r="P416">
        <v>1.41</v>
      </c>
      <c r="Q416">
        <v>31.37</v>
      </c>
      <c r="R416">
        <v>5.58</v>
      </c>
    </row>
    <row r="417" spans="1:18">
      <c r="A417">
        <v>66</v>
      </c>
      <c r="B417">
        <v>0</v>
      </c>
      <c r="C417">
        <v>21.907582999999999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80.23</v>
      </c>
      <c r="M417">
        <v>221.3</v>
      </c>
      <c r="N417">
        <v>349.93</v>
      </c>
      <c r="O417">
        <v>0.63</v>
      </c>
      <c r="P417">
        <v>0.14000000000000001</v>
      </c>
      <c r="Q417">
        <v>25.61</v>
      </c>
      <c r="R417">
        <v>6.59</v>
      </c>
    </row>
    <row r="418" spans="1:18">
      <c r="A418">
        <v>44</v>
      </c>
      <c r="B418">
        <v>0</v>
      </c>
      <c r="C418">
        <v>20.88889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160.88999999999999</v>
      </c>
      <c r="M418">
        <v>2502.0100000000002</v>
      </c>
      <c r="N418">
        <v>1583.94</v>
      </c>
      <c r="O418">
        <v>1.58</v>
      </c>
      <c r="P418">
        <v>0.44</v>
      </c>
      <c r="Q418">
        <v>26.93</v>
      </c>
      <c r="R418">
        <v>18.87</v>
      </c>
    </row>
    <row r="419" spans="1:18">
      <c r="A419">
        <v>41</v>
      </c>
      <c r="B419">
        <v>0</v>
      </c>
      <c r="C419">
        <v>21.258503000000001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267.26</v>
      </c>
      <c r="M419">
        <v>4164.42</v>
      </c>
      <c r="N419">
        <v>4128.4799999999996</v>
      </c>
      <c r="O419">
        <v>1.01</v>
      </c>
      <c r="P419">
        <v>0.32</v>
      </c>
      <c r="Q419">
        <v>28.91</v>
      </c>
      <c r="R419">
        <v>35.54</v>
      </c>
    </row>
    <row r="420" spans="1:18">
      <c r="A420">
        <v>37</v>
      </c>
      <c r="B420">
        <v>0</v>
      </c>
      <c r="C420">
        <v>19.433014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243.77</v>
      </c>
      <c r="M420">
        <v>3292.54</v>
      </c>
      <c r="N420">
        <v>3974.14</v>
      </c>
      <c r="O420">
        <v>0.83</v>
      </c>
      <c r="P420">
        <v>0.2</v>
      </c>
      <c r="Q420">
        <v>28.38</v>
      </c>
      <c r="R420">
        <v>35.590000000000003</v>
      </c>
    </row>
    <row r="421" spans="1:18">
      <c r="A421">
        <v>42</v>
      </c>
      <c r="B421">
        <v>0</v>
      </c>
      <c r="C421">
        <v>19.188566000000002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413.82</v>
      </c>
      <c r="M421">
        <v>1523.63</v>
      </c>
      <c r="N421">
        <v>395.58</v>
      </c>
      <c r="O421">
        <v>3.85</v>
      </c>
      <c r="P421">
        <v>0.25</v>
      </c>
      <c r="Q421">
        <v>23.83</v>
      </c>
      <c r="R421">
        <v>5.94</v>
      </c>
    </row>
    <row r="422" spans="1:18">
      <c r="A422">
        <v>36</v>
      </c>
      <c r="B422">
        <v>0</v>
      </c>
      <c r="C422">
        <v>20.824656000000001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47.86</v>
      </c>
      <c r="M422">
        <v>57.89</v>
      </c>
      <c r="N422">
        <v>166.27</v>
      </c>
      <c r="O422">
        <v>0.35</v>
      </c>
      <c r="P422">
        <v>0.37</v>
      </c>
      <c r="Q422">
        <v>30.22</v>
      </c>
      <c r="R422">
        <v>11.44</v>
      </c>
    </row>
    <row r="423" spans="1:18">
      <c r="A423">
        <v>46</v>
      </c>
      <c r="B423">
        <v>1</v>
      </c>
      <c r="C423">
        <v>34.285713000000001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22.73</v>
      </c>
      <c r="M423">
        <v>30.8</v>
      </c>
      <c r="N423">
        <v>24.93</v>
      </c>
      <c r="O423">
        <v>1.24</v>
      </c>
      <c r="P423">
        <v>0.36</v>
      </c>
      <c r="Q423">
        <v>32.99</v>
      </c>
      <c r="R423">
        <v>5.22</v>
      </c>
    </row>
    <row r="424" spans="1:18">
      <c r="A424">
        <v>38</v>
      </c>
      <c r="B424">
        <v>0</v>
      </c>
      <c r="C424">
        <v>18.09404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65.319999999999993</v>
      </c>
      <c r="M424">
        <v>94.66</v>
      </c>
      <c r="N424">
        <v>45.38</v>
      </c>
      <c r="O424">
        <v>2.09</v>
      </c>
      <c r="P424">
        <v>0.31</v>
      </c>
      <c r="Q424">
        <v>31.61</v>
      </c>
      <c r="R424">
        <v>4.16</v>
      </c>
    </row>
    <row r="425" spans="1:18">
      <c r="A425">
        <v>44</v>
      </c>
      <c r="B425">
        <v>1</v>
      </c>
      <c r="C425">
        <v>25.249338000000002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34.6</v>
      </c>
      <c r="M425">
        <v>100.13</v>
      </c>
      <c r="N425">
        <v>39.11</v>
      </c>
      <c r="O425">
        <v>2.56</v>
      </c>
      <c r="P425">
        <v>0.28999999999999998</v>
      </c>
      <c r="Q425">
        <v>29.82</v>
      </c>
      <c r="R425">
        <v>4.62</v>
      </c>
    </row>
    <row r="426" spans="1:18">
      <c r="A426">
        <v>75</v>
      </c>
      <c r="B426">
        <v>0</v>
      </c>
      <c r="C426">
        <v>25.915129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311.55</v>
      </c>
      <c r="M426">
        <v>2865.57</v>
      </c>
      <c r="N426">
        <v>5827.14</v>
      </c>
      <c r="O426">
        <v>0.49</v>
      </c>
      <c r="P426">
        <v>0.15</v>
      </c>
      <c r="Q426">
        <v>30.87</v>
      </c>
      <c r="R426">
        <v>38.22</v>
      </c>
    </row>
    <row r="427" spans="1:18">
      <c r="A427">
        <v>39</v>
      </c>
      <c r="B427">
        <v>0</v>
      </c>
      <c r="C427">
        <v>23.495236999999999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109.59</v>
      </c>
      <c r="M427">
        <v>422.88</v>
      </c>
      <c r="N427">
        <v>275.66000000000003</v>
      </c>
      <c r="O427">
        <v>1.53</v>
      </c>
      <c r="P427">
        <v>0.13</v>
      </c>
      <c r="Q427">
        <v>31.87</v>
      </c>
      <c r="R427">
        <v>15.14</v>
      </c>
    </row>
    <row r="428" spans="1:18">
      <c r="A428">
        <v>64</v>
      </c>
      <c r="B428">
        <v>0</v>
      </c>
      <c r="C428">
        <v>21.875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90.09</v>
      </c>
      <c r="M428">
        <v>227.17</v>
      </c>
      <c r="N428">
        <v>574.26</v>
      </c>
      <c r="O428">
        <v>0.4</v>
      </c>
      <c r="P428">
        <v>0.4</v>
      </c>
      <c r="Q428">
        <v>33.31</v>
      </c>
      <c r="R428">
        <v>10.01</v>
      </c>
    </row>
    <row r="429" spans="1:18">
      <c r="A429">
        <v>68</v>
      </c>
      <c r="B429">
        <v>0</v>
      </c>
      <c r="C429">
        <v>22.640865000000002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73.709999999999994</v>
      </c>
      <c r="M429">
        <v>135.53</v>
      </c>
      <c r="N429">
        <v>414.11</v>
      </c>
      <c r="O429">
        <v>0.33</v>
      </c>
      <c r="P429">
        <v>7.0000000000000007E-2</v>
      </c>
      <c r="Q429">
        <v>32.799999999999997</v>
      </c>
      <c r="R429">
        <v>4.67</v>
      </c>
    </row>
    <row r="430" spans="1:18">
      <c r="A430">
        <v>70</v>
      </c>
      <c r="B430">
        <v>1</v>
      </c>
      <c r="C430">
        <v>21.671258999999999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196</v>
      </c>
      <c r="M430">
        <v>1907.09</v>
      </c>
      <c r="N430">
        <v>2760.35</v>
      </c>
      <c r="O430">
        <v>0.69</v>
      </c>
      <c r="P430">
        <v>0.23</v>
      </c>
      <c r="Q430">
        <v>31.5</v>
      </c>
      <c r="R430">
        <v>32.14</v>
      </c>
    </row>
    <row r="431" spans="1:18">
      <c r="A431">
        <v>67</v>
      </c>
      <c r="B431">
        <v>1</v>
      </c>
      <c r="C431">
        <v>23.661438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52.78</v>
      </c>
      <c r="M431">
        <v>154</v>
      </c>
      <c r="N431">
        <v>254.21</v>
      </c>
      <c r="O431">
        <v>0.61</v>
      </c>
      <c r="P431">
        <v>0.46</v>
      </c>
      <c r="Q431">
        <v>28.35</v>
      </c>
      <c r="R431">
        <v>4.21</v>
      </c>
    </row>
    <row r="432" spans="1:18">
      <c r="A432">
        <v>69</v>
      </c>
      <c r="B432">
        <v>0</v>
      </c>
      <c r="C432">
        <v>21.333334000000001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18.84</v>
      </c>
      <c r="M432">
        <v>6</v>
      </c>
      <c r="N432">
        <v>6.47</v>
      </c>
      <c r="O432">
        <v>0.93</v>
      </c>
      <c r="P432">
        <v>0.22</v>
      </c>
      <c r="Q432">
        <v>32.92</v>
      </c>
      <c r="R432">
        <v>1.66</v>
      </c>
    </row>
    <row r="433" spans="1:18">
      <c r="A433">
        <v>69</v>
      </c>
      <c r="B433">
        <v>0</v>
      </c>
      <c r="C433">
        <v>21.477654000000001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510.76</v>
      </c>
      <c r="M433">
        <v>23979.42</v>
      </c>
      <c r="N433">
        <v>12385.79</v>
      </c>
      <c r="O433">
        <v>1.94</v>
      </c>
      <c r="P433">
        <v>0.24</v>
      </c>
      <c r="Q433">
        <v>31.26</v>
      </c>
      <c r="R433">
        <v>53.3</v>
      </c>
    </row>
    <row r="434" spans="1:18">
      <c r="A434">
        <v>66</v>
      </c>
      <c r="B434">
        <v>0</v>
      </c>
      <c r="C434">
        <v>21.155294000000001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112.33</v>
      </c>
      <c r="M434">
        <v>304.16000000000003</v>
      </c>
      <c r="N434">
        <v>1182.93</v>
      </c>
      <c r="O434">
        <v>0.26</v>
      </c>
      <c r="P434">
        <v>0.25</v>
      </c>
      <c r="Q434">
        <v>30.51</v>
      </c>
      <c r="R434">
        <v>6.94</v>
      </c>
    </row>
    <row r="435" spans="1:18">
      <c r="A435">
        <v>46</v>
      </c>
      <c r="B435">
        <v>0</v>
      </c>
      <c r="C435">
        <v>19.53125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133.38999999999999</v>
      </c>
      <c r="M435">
        <v>706.35</v>
      </c>
      <c r="N435">
        <v>1025.1400000000001</v>
      </c>
      <c r="O435">
        <v>0.69</v>
      </c>
      <c r="P435">
        <v>0.28000000000000003</v>
      </c>
      <c r="Q435">
        <v>30.42</v>
      </c>
      <c r="R435">
        <v>17.920000000000002</v>
      </c>
    </row>
    <row r="436" spans="1:18">
      <c r="A436">
        <v>53</v>
      </c>
      <c r="B436">
        <v>0</v>
      </c>
      <c r="C436">
        <v>21.854914000000001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37.57</v>
      </c>
      <c r="M436">
        <v>42.49</v>
      </c>
      <c r="N436">
        <v>50</v>
      </c>
      <c r="O436">
        <v>0.85</v>
      </c>
      <c r="P436">
        <v>0.31</v>
      </c>
      <c r="Q436">
        <v>31.08</v>
      </c>
      <c r="R436">
        <v>6.2</v>
      </c>
    </row>
    <row r="437" spans="1:18">
      <c r="A437">
        <v>43</v>
      </c>
      <c r="B437">
        <v>0</v>
      </c>
      <c r="C437">
        <v>21.077196000000001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41.84</v>
      </c>
      <c r="M437">
        <v>73.709999999999994</v>
      </c>
      <c r="N437">
        <v>150.13</v>
      </c>
      <c r="O437">
        <v>0.49</v>
      </c>
      <c r="P437">
        <v>0.1</v>
      </c>
      <c r="Q437">
        <v>24.19</v>
      </c>
      <c r="R437">
        <v>5.18</v>
      </c>
    </row>
    <row r="438" spans="1:18">
      <c r="A438">
        <v>46</v>
      </c>
      <c r="B438">
        <v>0</v>
      </c>
      <c r="C438">
        <v>28.763971000000002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36.700000000000003</v>
      </c>
      <c r="M438">
        <v>30.94</v>
      </c>
      <c r="N438">
        <v>108.48</v>
      </c>
      <c r="O438">
        <v>0.28999999999999998</v>
      </c>
      <c r="P438">
        <v>0.24</v>
      </c>
      <c r="Q438">
        <v>32.18</v>
      </c>
      <c r="R438">
        <v>9.4</v>
      </c>
    </row>
    <row r="439" spans="1:18">
      <c r="A439">
        <v>31</v>
      </c>
      <c r="B439">
        <v>0</v>
      </c>
      <c r="C439">
        <v>23.011177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42.64</v>
      </c>
      <c r="M439">
        <v>25.83</v>
      </c>
      <c r="N439">
        <v>54.9</v>
      </c>
      <c r="O439">
        <v>0.47</v>
      </c>
      <c r="P439">
        <v>0.44</v>
      </c>
      <c r="Q439">
        <v>32.14</v>
      </c>
      <c r="R439">
        <v>4.42</v>
      </c>
    </row>
    <row r="440" spans="1:18">
      <c r="A440">
        <v>45</v>
      </c>
      <c r="B440">
        <v>0</v>
      </c>
      <c r="C440">
        <v>20.342797999999998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41.71</v>
      </c>
      <c r="M440">
        <v>242.02</v>
      </c>
      <c r="N440">
        <v>15.69</v>
      </c>
      <c r="O440">
        <v>15.43</v>
      </c>
      <c r="P440">
        <v>0.28000000000000003</v>
      </c>
      <c r="Q440">
        <v>32.39</v>
      </c>
      <c r="R440">
        <v>12.01</v>
      </c>
    </row>
    <row r="441" spans="1:18">
      <c r="A441">
        <v>38</v>
      </c>
      <c r="B441">
        <v>0</v>
      </c>
      <c r="C441">
        <v>23.711845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203.21</v>
      </c>
      <c r="M441">
        <v>1674.99</v>
      </c>
      <c r="N441">
        <v>3497.17</v>
      </c>
      <c r="O441">
        <v>0.48</v>
      </c>
      <c r="P441">
        <v>0.42</v>
      </c>
      <c r="Q441">
        <v>32.880000000000003</v>
      </c>
      <c r="R441">
        <v>11.29</v>
      </c>
    </row>
    <row r="442" spans="1:18">
      <c r="A442">
        <v>52</v>
      </c>
      <c r="B442">
        <v>0</v>
      </c>
      <c r="C442">
        <v>19.362473000000001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117.28</v>
      </c>
      <c r="M442">
        <v>565.70000000000005</v>
      </c>
      <c r="N442">
        <v>747.13</v>
      </c>
      <c r="O442">
        <v>0.76</v>
      </c>
      <c r="P442">
        <v>0.28999999999999998</v>
      </c>
      <c r="Q442">
        <v>30.58</v>
      </c>
      <c r="R442">
        <v>12.63</v>
      </c>
    </row>
    <row r="443" spans="1:18">
      <c r="A443">
        <v>58</v>
      </c>
      <c r="B443">
        <v>0</v>
      </c>
      <c r="C443">
        <v>27.377776999999998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23.6</v>
      </c>
      <c r="M443">
        <v>14.24</v>
      </c>
      <c r="N443">
        <v>33.049999999999997</v>
      </c>
      <c r="O443">
        <v>0.43</v>
      </c>
      <c r="P443">
        <v>0.53</v>
      </c>
      <c r="Q443">
        <v>31.99</v>
      </c>
      <c r="R443">
        <v>4.17</v>
      </c>
    </row>
    <row r="444" spans="1:18">
      <c r="A444">
        <v>43</v>
      </c>
      <c r="B444">
        <v>0</v>
      </c>
      <c r="C444">
        <v>24.464601999999999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33.979999999999997</v>
      </c>
      <c r="M444">
        <v>36.090000000000003</v>
      </c>
      <c r="N444">
        <v>42.63</v>
      </c>
      <c r="O444">
        <v>0.85</v>
      </c>
      <c r="P444">
        <v>0.46</v>
      </c>
      <c r="Q444">
        <v>33.880000000000003</v>
      </c>
      <c r="R444">
        <v>6.89</v>
      </c>
    </row>
    <row r="445" spans="1:18">
      <c r="A445">
        <v>42</v>
      </c>
      <c r="B445">
        <v>1</v>
      </c>
      <c r="C445">
        <v>26.674875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181.34</v>
      </c>
      <c r="M445">
        <v>1330.29</v>
      </c>
      <c r="N445">
        <v>2263.35</v>
      </c>
      <c r="O445">
        <v>0.59</v>
      </c>
      <c r="P445">
        <v>0.31</v>
      </c>
      <c r="Q445">
        <v>30.5</v>
      </c>
      <c r="R445">
        <v>54.52</v>
      </c>
    </row>
    <row r="446" spans="1:18">
      <c r="A446">
        <v>42</v>
      </c>
      <c r="B446">
        <v>1</v>
      </c>
      <c r="C446">
        <v>28.089887999999998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61.65</v>
      </c>
      <c r="M446">
        <v>108.3</v>
      </c>
      <c r="N446">
        <v>147.28</v>
      </c>
      <c r="O446">
        <v>0.74</v>
      </c>
      <c r="P446">
        <v>0.35</v>
      </c>
      <c r="Q446">
        <v>31.36</v>
      </c>
      <c r="R446">
        <v>6.91</v>
      </c>
    </row>
    <row r="447" spans="1:18">
      <c r="A447">
        <v>61</v>
      </c>
      <c r="B447">
        <v>0</v>
      </c>
      <c r="C447">
        <v>23.011177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35.049999999999997</v>
      </c>
      <c r="M447">
        <v>26.22</v>
      </c>
      <c r="N447">
        <v>44.55</v>
      </c>
      <c r="O447">
        <v>0.59</v>
      </c>
      <c r="P447">
        <v>0.27</v>
      </c>
      <c r="Q447">
        <v>27.93</v>
      </c>
      <c r="R447">
        <v>3.14</v>
      </c>
    </row>
    <row r="448" spans="1:18">
      <c r="A448">
        <v>37</v>
      </c>
      <c r="B448">
        <v>0</v>
      </c>
      <c r="C448">
        <v>25.217358000000001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46.51</v>
      </c>
      <c r="M448">
        <v>170.27</v>
      </c>
      <c r="N448">
        <v>112.65</v>
      </c>
      <c r="O448">
        <v>1.51</v>
      </c>
      <c r="P448">
        <v>0.41</v>
      </c>
      <c r="Q448">
        <v>27.46</v>
      </c>
      <c r="R448">
        <v>11.83</v>
      </c>
    </row>
    <row r="449" spans="1:18">
      <c r="A449">
        <v>54</v>
      </c>
      <c r="B449">
        <v>0</v>
      </c>
      <c r="C449">
        <v>27.777778999999999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35.049999999999997</v>
      </c>
      <c r="M449">
        <v>26.22</v>
      </c>
      <c r="N449">
        <v>44.55</v>
      </c>
      <c r="O449">
        <v>0.59</v>
      </c>
      <c r="P449">
        <v>0.27</v>
      </c>
      <c r="Q449">
        <v>27.93</v>
      </c>
      <c r="R449">
        <v>3.14</v>
      </c>
    </row>
    <row r="450" spans="1:18">
      <c r="A450">
        <v>30</v>
      </c>
      <c r="B450">
        <v>0</v>
      </c>
      <c r="C450">
        <v>21.778435000000002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47.49</v>
      </c>
      <c r="M450">
        <v>50.96</v>
      </c>
      <c r="N450">
        <v>229.95</v>
      </c>
      <c r="O450">
        <v>0.22</v>
      </c>
      <c r="P450">
        <v>0.3</v>
      </c>
      <c r="Q450">
        <v>30.65</v>
      </c>
      <c r="R450">
        <v>7.92</v>
      </c>
    </row>
    <row r="451" spans="1:18">
      <c r="A451">
        <v>35</v>
      </c>
      <c r="B451">
        <v>0</v>
      </c>
      <c r="C451">
        <v>20.3125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54.66</v>
      </c>
      <c r="M451">
        <v>225.17</v>
      </c>
      <c r="N451">
        <v>81.209999999999994</v>
      </c>
      <c r="O451">
        <v>2.77</v>
      </c>
      <c r="P451">
        <v>0.38</v>
      </c>
      <c r="Q451">
        <v>32.49</v>
      </c>
      <c r="R451">
        <v>11.13</v>
      </c>
    </row>
    <row r="452" spans="1:18">
      <c r="A452">
        <v>25</v>
      </c>
      <c r="B452">
        <v>0</v>
      </c>
      <c r="C452">
        <v>22.679953000000001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48.13</v>
      </c>
      <c r="M452">
        <v>74.09</v>
      </c>
      <c r="N452">
        <v>110.94</v>
      </c>
      <c r="O452">
        <v>0.67</v>
      </c>
      <c r="P452">
        <v>0.28000000000000003</v>
      </c>
      <c r="Q452">
        <v>28.93</v>
      </c>
      <c r="R452">
        <v>8.91</v>
      </c>
    </row>
    <row r="453" spans="1:18">
      <c r="A453">
        <v>27</v>
      </c>
      <c r="B453">
        <v>0</v>
      </c>
      <c r="C453">
        <v>20.173252000000002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130.97999999999999</v>
      </c>
      <c r="M453">
        <v>2424.15</v>
      </c>
      <c r="N453">
        <v>456.01</v>
      </c>
      <c r="O453">
        <v>5.32</v>
      </c>
      <c r="P453">
        <v>0.16</v>
      </c>
      <c r="Q453">
        <v>24.37</v>
      </c>
      <c r="R453">
        <v>32.28</v>
      </c>
    </row>
    <row r="454" spans="1:18">
      <c r="A454">
        <v>25</v>
      </c>
      <c r="B454">
        <v>0</v>
      </c>
      <c r="C454">
        <v>28.303850000000001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59.83</v>
      </c>
      <c r="M454">
        <v>54.88</v>
      </c>
      <c r="N454">
        <v>214.04</v>
      </c>
      <c r="O454">
        <v>0.26</v>
      </c>
      <c r="P454">
        <v>0.22</v>
      </c>
      <c r="Q454">
        <v>31.67</v>
      </c>
      <c r="R454">
        <v>9.67</v>
      </c>
    </row>
    <row r="455" spans="1:18">
      <c r="A455">
        <v>30</v>
      </c>
      <c r="B455">
        <v>0</v>
      </c>
      <c r="C455">
        <v>24.444445000000002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130.97999999999999</v>
      </c>
      <c r="M455">
        <v>2424.15</v>
      </c>
      <c r="N455">
        <v>456.01</v>
      </c>
      <c r="O455">
        <v>5.32</v>
      </c>
      <c r="P455">
        <v>0.16</v>
      </c>
      <c r="Q455">
        <v>24.37</v>
      </c>
      <c r="R455">
        <v>32.28</v>
      </c>
    </row>
    <row r="456" spans="1:18">
      <c r="A456">
        <v>35</v>
      </c>
      <c r="B456">
        <v>1</v>
      </c>
      <c r="C456">
        <v>21.718064999999999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93.47</v>
      </c>
      <c r="M456">
        <v>1372.76</v>
      </c>
      <c r="N456">
        <v>233.35</v>
      </c>
      <c r="O456">
        <v>5.88</v>
      </c>
      <c r="P456">
        <v>1.41</v>
      </c>
      <c r="Q456">
        <v>23.38</v>
      </c>
      <c r="R456">
        <v>26.19</v>
      </c>
    </row>
    <row r="457" spans="1:18">
      <c r="A457">
        <v>28</v>
      </c>
      <c r="B457">
        <v>0</v>
      </c>
      <c r="C457">
        <v>26.502116999999998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49.66</v>
      </c>
      <c r="M457">
        <v>143.05000000000001</v>
      </c>
      <c r="N457">
        <v>50.09</v>
      </c>
      <c r="O457">
        <v>2.86</v>
      </c>
      <c r="P457">
        <v>0.43</v>
      </c>
      <c r="Q457">
        <v>33.11</v>
      </c>
      <c r="R457">
        <v>7.34</v>
      </c>
    </row>
    <row r="458" spans="1:18">
      <c r="A458">
        <v>34</v>
      </c>
      <c r="B458">
        <v>0</v>
      </c>
      <c r="C458">
        <v>18.314257000000001</v>
      </c>
      <c r="D458">
        <v>0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93.47</v>
      </c>
      <c r="M458">
        <v>1372.76</v>
      </c>
      <c r="N458">
        <v>233.35</v>
      </c>
      <c r="O458">
        <v>5.88</v>
      </c>
      <c r="P458">
        <v>1.41</v>
      </c>
      <c r="Q458">
        <v>23.38</v>
      </c>
      <c r="R458">
        <v>26.19</v>
      </c>
    </row>
    <row r="459" spans="1:18">
      <c r="A459">
        <v>45</v>
      </c>
      <c r="B459">
        <v>0</v>
      </c>
      <c r="C459">
        <v>20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104.6</v>
      </c>
      <c r="M459">
        <v>276.94</v>
      </c>
      <c r="N459">
        <v>520.41999999999996</v>
      </c>
      <c r="O459">
        <v>0.53</v>
      </c>
      <c r="P459">
        <v>0.14000000000000001</v>
      </c>
      <c r="Q459">
        <v>31.6</v>
      </c>
      <c r="R459">
        <v>6.62</v>
      </c>
    </row>
    <row r="460" spans="1:18">
      <c r="A460">
        <v>41</v>
      </c>
      <c r="B460">
        <v>0</v>
      </c>
      <c r="C460">
        <v>25.711008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56.34</v>
      </c>
      <c r="M460">
        <v>79.41</v>
      </c>
      <c r="N460">
        <v>175.47</v>
      </c>
      <c r="O460">
        <v>0.45</v>
      </c>
      <c r="P460">
        <v>0.2</v>
      </c>
      <c r="Q460">
        <v>25.32</v>
      </c>
      <c r="R460">
        <v>14.84</v>
      </c>
    </row>
    <row r="461" spans="1:18">
      <c r="A461">
        <v>48</v>
      </c>
      <c r="B461">
        <v>0</v>
      </c>
      <c r="C461">
        <v>21.077196000000001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70.64</v>
      </c>
      <c r="M461">
        <v>144.04</v>
      </c>
      <c r="N461">
        <v>182.1</v>
      </c>
      <c r="O461">
        <v>0.79</v>
      </c>
      <c r="P461">
        <v>0.27</v>
      </c>
      <c r="Q461">
        <v>27.72</v>
      </c>
      <c r="R461">
        <v>3.9</v>
      </c>
    </row>
    <row r="462" spans="1:18">
      <c r="A462">
        <v>44</v>
      </c>
      <c r="B462">
        <v>0</v>
      </c>
      <c r="C462">
        <v>20.715693999999999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57.03</v>
      </c>
      <c r="M462">
        <v>112.34</v>
      </c>
      <c r="N462">
        <v>171.65</v>
      </c>
      <c r="O462">
        <v>0.65</v>
      </c>
      <c r="P462">
        <v>0.88</v>
      </c>
      <c r="Q462">
        <v>28.69</v>
      </c>
      <c r="R462">
        <v>6.41</v>
      </c>
    </row>
    <row r="463" spans="1:18">
      <c r="A463">
        <v>54</v>
      </c>
      <c r="B463">
        <v>0</v>
      </c>
      <c r="C463">
        <v>22.494986999999998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50.91</v>
      </c>
      <c r="M463">
        <v>62.54</v>
      </c>
      <c r="N463">
        <v>76.790000000000006</v>
      </c>
      <c r="O463">
        <v>0.81</v>
      </c>
      <c r="P463">
        <v>0.38</v>
      </c>
      <c r="Q463">
        <v>31.44</v>
      </c>
      <c r="R463">
        <v>5.57</v>
      </c>
    </row>
    <row r="464" spans="1:18">
      <c r="A464">
        <v>61</v>
      </c>
      <c r="B464">
        <v>0</v>
      </c>
      <c r="C464">
        <v>25.806452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51.17</v>
      </c>
      <c r="M464">
        <v>6.48</v>
      </c>
      <c r="N464">
        <v>22.35</v>
      </c>
      <c r="O464">
        <v>0.28999999999999998</v>
      </c>
      <c r="P464">
        <v>1.27</v>
      </c>
      <c r="Q464">
        <v>29.94</v>
      </c>
      <c r="R464">
        <v>2.96</v>
      </c>
    </row>
    <row r="465" spans="1:18">
      <c r="A465">
        <v>58</v>
      </c>
      <c r="B465">
        <v>0</v>
      </c>
      <c r="C465">
        <v>21.773841999999998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14.14</v>
      </c>
      <c r="M465">
        <v>7.94</v>
      </c>
      <c r="N465">
        <v>2.83</v>
      </c>
      <c r="O465">
        <v>2.8</v>
      </c>
      <c r="P465">
        <v>0.21</v>
      </c>
      <c r="Q465">
        <v>23.43</v>
      </c>
      <c r="R465">
        <v>1.96</v>
      </c>
    </row>
    <row r="466" spans="1:18">
      <c r="A466">
        <v>37</v>
      </c>
      <c r="B466">
        <v>0</v>
      </c>
      <c r="C466">
        <v>25.631167999999999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48.43</v>
      </c>
      <c r="M466">
        <v>31.87</v>
      </c>
      <c r="N466">
        <v>164.36</v>
      </c>
      <c r="O466">
        <v>0.19</v>
      </c>
      <c r="P466">
        <v>0.28000000000000003</v>
      </c>
      <c r="Q466">
        <v>32.520000000000003</v>
      </c>
      <c r="R466">
        <v>9.36</v>
      </c>
    </row>
    <row r="467" spans="1:18">
      <c r="A467">
        <v>54</v>
      </c>
      <c r="B467">
        <v>0</v>
      </c>
      <c r="C467">
        <v>28.857686999999999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13.32</v>
      </c>
      <c r="M467">
        <v>5.69</v>
      </c>
      <c r="N467">
        <v>2.46</v>
      </c>
      <c r="O467">
        <v>2.31</v>
      </c>
      <c r="P467">
        <v>0.19</v>
      </c>
      <c r="Q467">
        <v>33.71</v>
      </c>
      <c r="R467">
        <v>1.51</v>
      </c>
    </row>
    <row r="468" spans="1:18">
      <c r="A468">
        <v>41</v>
      </c>
      <c r="B468">
        <v>0</v>
      </c>
      <c r="C468">
        <v>20.690494999999999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158.51</v>
      </c>
      <c r="M468">
        <v>1222.57</v>
      </c>
      <c r="N468">
        <v>1281.3699999999999</v>
      </c>
      <c r="O468">
        <v>0.95</v>
      </c>
      <c r="P468">
        <v>1.04</v>
      </c>
      <c r="Q468">
        <v>23.39</v>
      </c>
      <c r="R468">
        <v>31.52</v>
      </c>
    </row>
    <row r="469" spans="1:18">
      <c r="A469">
        <v>45</v>
      </c>
      <c r="B469">
        <v>0</v>
      </c>
      <c r="C469">
        <v>18.403320000000001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42.26</v>
      </c>
      <c r="M469">
        <v>32.31</v>
      </c>
      <c r="N469">
        <v>66.989999999999995</v>
      </c>
      <c r="O469">
        <v>0.48</v>
      </c>
      <c r="P469">
        <v>0.27</v>
      </c>
      <c r="Q469">
        <v>28.38</v>
      </c>
      <c r="R469">
        <v>5.66</v>
      </c>
    </row>
    <row r="470" spans="1:18">
      <c r="A470">
        <v>46</v>
      </c>
      <c r="B470">
        <v>0</v>
      </c>
      <c r="C470">
        <v>19.473406000000001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21</v>
      </c>
      <c r="M470">
        <v>14.06</v>
      </c>
      <c r="N470">
        <v>21.12</v>
      </c>
      <c r="O470">
        <v>0.67</v>
      </c>
      <c r="P470">
        <v>0.57999999999999996</v>
      </c>
      <c r="Q470">
        <v>31.23</v>
      </c>
      <c r="R470">
        <v>3.22</v>
      </c>
    </row>
    <row r="471" spans="1:18">
      <c r="A471">
        <v>45</v>
      </c>
      <c r="B471">
        <v>1</v>
      </c>
      <c r="C471">
        <v>26.892323000000001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22.72</v>
      </c>
      <c r="M471">
        <v>77.55</v>
      </c>
      <c r="N471">
        <v>9.57</v>
      </c>
      <c r="O471">
        <v>8.1</v>
      </c>
      <c r="P471">
        <v>0.3</v>
      </c>
      <c r="Q471">
        <v>31.04</v>
      </c>
      <c r="R471">
        <v>8.5399999999999991</v>
      </c>
    </row>
    <row r="472" spans="1:18">
      <c r="A472">
        <v>49</v>
      </c>
      <c r="B472">
        <v>1</v>
      </c>
      <c r="C472">
        <v>20.415223999999998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287.33</v>
      </c>
      <c r="M472">
        <v>580.20000000000005</v>
      </c>
      <c r="N472">
        <v>616.75</v>
      </c>
      <c r="O472">
        <v>0.94</v>
      </c>
      <c r="P472">
        <v>0.53</v>
      </c>
      <c r="Q472">
        <v>24.34</v>
      </c>
      <c r="R472">
        <v>39.659999999999997</v>
      </c>
    </row>
    <row r="473" spans="1:18">
      <c r="A473">
        <v>65</v>
      </c>
      <c r="B473">
        <v>1</v>
      </c>
      <c r="C473">
        <v>24.237024000000002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59.24</v>
      </c>
      <c r="M473">
        <v>118.21</v>
      </c>
      <c r="N473">
        <v>173.32</v>
      </c>
      <c r="O473">
        <v>0.68</v>
      </c>
      <c r="P473">
        <v>0.17</v>
      </c>
      <c r="Q473">
        <v>31.71</v>
      </c>
      <c r="R473">
        <v>3.34</v>
      </c>
    </row>
    <row r="474" spans="1:18">
      <c r="A474">
        <v>61</v>
      </c>
      <c r="B474">
        <v>1</v>
      </c>
      <c r="C474">
        <v>26.332640000000001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24.42</v>
      </c>
      <c r="M474">
        <v>32.369999999999997</v>
      </c>
      <c r="N474">
        <v>7.77</v>
      </c>
      <c r="O474">
        <v>4.17</v>
      </c>
      <c r="P474">
        <v>0.39</v>
      </c>
      <c r="Q474">
        <v>33.51</v>
      </c>
      <c r="R474">
        <v>2.5499999999999998</v>
      </c>
    </row>
    <row r="475" spans="1:18">
      <c r="A475">
        <v>49</v>
      </c>
      <c r="B475">
        <v>1</v>
      </c>
      <c r="C475">
        <v>20.549886999999998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23.51</v>
      </c>
      <c r="M475">
        <v>17.690000000000001</v>
      </c>
      <c r="N475">
        <v>13.44</v>
      </c>
      <c r="O475">
        <v>1.32</v>
      </c>
      <c r="P475">
        <v>0.39</v>
      </c>
      <c r="Q475">
        <v>32.090000000000003</v>
      </c>
      <c r="R475">
        <v>4.2300000000000004</v>
      </c>
    </row>
    <row r="476" spans="1:18">
      <c r="A476">
        <v>45</v>
      </c>
      <c r="B476">
        <v>1</v>
      </c>
      <c r="C476">
        <v>27.681661999999999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24.38</v>
      </c>
      <c r="M476">
        <v>12.72</v>
      </c>
      <c r="N476">
        <v>10.94</v>
      </c>
      <c r="O476">
        <v>1.1599999999999999</v>
      </c>
      <c r="P476">
        <v>0.45</v>
      </c>
      <c r="Q476">
        <v>32.630000000000003</v>
      </c>
      <c r="R476">
        <v>4.45</v>
      </c>
    </row>
    <row r="477" spans="1:18">
      <c r="A477">
        <v>56</v>
      </c>
      <c r="B477">
        <v>1</v>
      </c>
      <c r="C477">
        <v>33.02946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31.84</v>
      </c>
      <c r="M477">
        <v>25.2</v>
      </c>
      <c r="N477">
        <v>70.569999999999993</v>
      </c>
      <c r="O477">
        <v>0.36</v>
      </c>
      <c r="P477">
        <v>0.56000000000000005</v>
      </c>
      <c r="Q477">
        <v>31.33</v>
      </c>
      <c r="R477">
        <v>4.13</v>
      </c>
    </row>
    <row r="478" spans="1:18">
      <c r="A478">
        <v>49</v>
      </c>
      <c r="B478">
        <v>1</v>
      </c>
      <c r="C478">
        <v>23.738662999999999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70.459999999999994</v>
      </c>
      <c r="M478">
        <v>498.63</v>
      </c>
      <c r="N478">
        <v>138.54</v>
      </c>
      <c r="O478">
        <v>3.6</v>
      </c>
      <c r="P478">
        <v>3.09</v>
      </c>
      <c r="Q478">
        <v>30.62</v>
      </c>
      <c r="R478">
        <v>13.44</v>
      </c>
    </row>
    <row r="479" spans="1:18">
      <c r="A479">
        <v>51</v>
      </c>
      <c r="B479">
        <v>1</v>
      </c>
      <c r="C479">
        <v>27.74475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25.77</v>
      </c>
      <c r="M479">
        <v>2.92</v>
      </c>
      <c r="N479">
        <v>32.299999999999997</v>
      </c>
      <c r="O479">
        <v>0.09</v>
      </c>
      <c r="P479">
        <v>0.37</v>
      </c>
      <c r="Q479">
        <v>27.78</v>
      </c>
      <c r="R479">
        <v>4.45</v>
      </c>
    </row>
    <row r="480" spans="1:18">
      <c r="A480">
        <v>41</v>
      </c>
      <c r="B480">
        <v>0</v>
      </c>
      <c r="C480">
        <v>22.232013999999999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56.66</v>
      </c>
      <c r="M480">
        <v>287.92</v>
      </c>
      <c r="N480">
        <v>136.83000000000001</v>
      </c>
      <c r="O480">
        <v>2.1</v>
      </c>
      <c r="P480">
        <v>0.32</v>
      </c>
      <c r="Q480">
        <v>31.34</v>
      </c>
      <c r="R480">
        <v>6.66</v>
      </c>
    </row>
    <row r="481" spans="1:18">
      <c r="A481">
        <v>53</v>
      </c>
      <c r="B481">
        <v>1</v>
      </c>
      <c r="C481">
        <v>26.989619999999999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38.4</v>
      </c>
      <c r="M481">
        <v>44.53</v>
      </c>
      <c r="N481">
        <v>101.79</v>
      </c>
      <c r="O481">
        <v>0.44</v>
      </c>
      <c r="P481">
        <v>0.19</v>
      </c>
      <c r="Q481">
        <v>32.08</v>
      </c>
      <c r="R481">
        <v>5.94</v>
      </c>
    </row>
    <row r="482" spans="1:18">
      <c r="A482">
        <v>35</v>
      </c>
      <c r="B482">
        <v>1</v>
      </c>
      <c r="C482">
        <v>23.781213999999999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49.52</v>
      </c>
      <c r="M482">
        <v>340.76</v>
      </c>
      <c r="N482">
        <v>25.34</v>
      </c>
      <c r="O482">
        <v>13.45</v>
      </c>
      <c r="P482">
        <v>1.05</v>
      </c>
      <c r="Q482">
        <v>30.91</v>
      </c>
      <c r="R482">
        <v>10.31</v>
      </c>
    </row>
    <row r="483" spans="1:18">
      <c r="A483">
        <v>42</v>
      </c>
      <c r="B483">
        <v>1</v>
      </c>
      <c r="C483">
        <v>34.527090000000001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20.48</v>
      </c>
      <c r="M483">
        <v>21.93</v>
      </c>
      <c r="N483">
        <v>9.08</v>
      </c>
      <c r="O483">
        <v>2.42</v>
      </c>
      <c r="P483">
        <v>0.36</v>
      </c>
      <c r="Q483">
        <v>31.42</v>
      </c>
      <c r="R483">
        <v>2.86</v>
      </c>
    </row>
    <row r="484" spans="1:18">
      <c r="A484">
        <v>25</v>
      </c>
      <c r="B484">
        <v>1</v>
      </c>
      <c r="C484">
        <v>18.426535000000001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199.14</v>
      </c>
      <c r="M484">
        <v>2718.48</v>
      </c>
      <c r="N484">
        <v>1974.53</v>
      </c>
      <c r="O484">
        <v>1.38</v>
      </c>
      <c r="P484">
        <v>0.81</v>
      </c>
      <c r="Q484">
        <v>28.77</v>
      </c>
      <c r="R484">
        <v>20.45</v>
      </c>
    </row>
    <row r="485" spans="1:18">
      <c r="A485">
        <v>39</v>
      </c>
      <c r="B485">
        <v>1</v>
      </c>
      <c r="C485">
        <v>33.893352999999998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99.86</v>
      </c>
      <c r="M485">
        <v>317.05</v>
      </c>
      <c r="N485">
        <v>799.7</v>
      </c>
      <c r="O485">
        <v>0.4</v>
      </c>
      <c r="P485">
        <v>1.2</v>
      </c>
      <c r="Q485">
        <v>29.64</v>
      </c>
      <c r="R485">
        <v>7.92</v>
      </c>
    </row>
    <row r="486" spans="1:18">
      <c r="A486">
        <v>39</v>
      </c>
      <c r="B486">
        <v>1</v>
      </c>
      <c r="C486">
        <v>22.530864999999999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57.66</v>
      </c>
      <c r="M486">
        <v>125.87</v>
      </c>
      <c r="N486">
        <v>262.2</v>
      </c>
      <c r="O486">
        <v>0.48</v>
      </c>
      <c r="P486">
        <v>0.49</v>
      </c>
      <c r="Q486">
        <v>31.16</v>
      </c>
      <c r="R486">
        <v>12.16</v>
      </c>
    </row>
    <row r="487" spans="1:18">
      <c r="A487">
        <v>42</v>
      </c>
      <c r="B487">
        <v>1</v>
      </c>
      <c r="C487">
        <v>28.698979999999999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102.13</v>
      </c>
      <c r="M487">
        <v>161.81</v>
      </c>
      <c r="N487">
        <v>113.8</v>
      </c>
      <c r="O487">
        <v>1.42</v>
      </c>
      <c r="P487">
        <v>0.45</v>
      </c>
      <c r="Q487">
        <v>29.79</v>
      </c>
      <c r="R487">
        <v>12.07</v>
      </c>
    </row>
    <row r="488" spans="1:18">
      <c r="A488">
        <v>56</v>
      </c>
      <c r="B488">
        <v>1</v>
      </c>
      <c r="C488">
        <v>24.382373999999999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19.329999999999998</v>
      </c>
      <c r="M488">
        <v>23.88</v>
      </c>
      <c r="N488">
        <v>2.72</v>
      </c>
      <c r="O488">
        <v>8.7899999999999991</v>
      </c>
      <c r="P488">
        <v>1.1100000000000001</v>
      </c>
      <c r="Q488">
        <v>31.4</v>
      </c>
      <c r="R488">
        <v>2.33</v>
      </c>
    </row>
    <row r="489" spans="1:18">
      <c r="A489">
        <v>41</v>
      </c>
      <c r="B489">
        <v>1</v>
      </c>
      <c r="C489">
        <v>26.149277000000001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19.739999999999998</v>
      </c>
      <c r="M489">
        <v>19.309999999999999</v>
      </c>
      <c r="N489">
        <v>27.7</v>
      </c>
      <c r="O489">
        <v>0.7</v>
      </c>
      <c r="P489">
        <v>0.37</v>
      </c>
      <c r="Q489">
        <v>33.39</v>
      </c>
      <c r="R489">
        <v>3.63</v>
      </c>
    </row>
    <row r="490" spans="1:18">
      <c r="A490">
        <v>45</v>
      </c>
      <c r="B490">
        <v>1</v>
      </c>
      <c r="C490">
        <v>38.818717999999997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49.78</v>
      </c>
      <c r="M490">
        <v>103.74</v>
      </c>
      <c r="N490">
        <v>128.18</v>
      </c>
      <c r="O490">
        <v>0.81</v>
      </c>
      <c r="P490">
        <v>0.18</v>
      </c>
      <c r="Q490">
        <v>31.14</v>
      </c>
      <c r="R490">
        <v>7.12</v>
      </c>
    </row>
    <row r="491" spans="1:18">
      <c r="A491">
        <v>27</v>
      </c>
      <c r="B491">
        <v>1</v>
      </c>
      <c r="C491">
        <v>23.233456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148.80000000000001</v>
      </c>
      <c r="M491">
        <v>293.67</v>
      </c>
      <c r="N491">
        <v>1085.6600000000001</v>
      </c>
      <c r="O491">
        <v>0.27</v>
      </c>
      <c r="P491">
        <v>2.2200000000000002</v>
      </c>
      <c r="Q491">
        <v>30.72</v>
      </c>
      <c r="R491">
        <v>23.44</v>
      </c>
    </row>
    <row r="492" spans="1:18">
      <c r="A492">
        <v>49</v>
      </c>
      <c r="B492">
        <v>1</v>
      </c>
      <c r="C492">
        <v>28.344671000000002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116.47</v>
      </c>
      <c r="M492">
        <v>1767.72</v>
      </c>
      <c r="N492">
        <v>297.38</v>
      </c>
      <c r="O492">
        <v>5.94</v>
      </c>
      <c r="P492">
        <v>1.22</v>
      </c>
      <c r="Q492">
        <v>29.03</v>
      </c>
      <c r="R492">
        <v>16.940000000000001</v>
      </c>
    </row>
    <row r="493" spans="1:18">
      <c r="A493">
        <v>20</v>
      </c>
      <c r="B493">
        <v>0</v>
      </c>
      <c r="C493">
        <v>20.811654999999998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147.12</v>
      </c>
      <c r="M493">
        <v>595.04</v>
      </c>
      <c r="N493">
        <v>1625.51</v>
      </c>
      <c r="O493">
        <v>0.37</v>
      </c>
      <c r="P493">
        <v>0.23</v>
      </c>
      <c r="Q493">
        <v>32.44</v>
      </c>
      <c r="R493">
        <v>23.72</v>
      </c>
    </row>
    <row r="494" spans="1:18">
      <c r="A494">
        <v>54</v>
      </c>
      <c r="B494">
        <v>1</v>
      </c>
      <c r="C494">
        <v>32.488630000000001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84.93</v>
      </c>
      <c r="M494">
        <v>62.03</v>
      </c>
      <c r="N494">
        <v>414.01</v>
      </c>
      <c r="O494">
        <v>0.15</v>
      </c>
      <c r="P494">
        <v>0.13</v>
      </c>
      <c r="Q494">
        <v>28.2</v>
      </c>
      <c r="R494">
        <v>8.8699999999999992</v>
      </c>
    </row>
    <row r="495" spans="1:18">
      <c r="A495">
        <v>63</v>
      </c>
      <c r="B495">
        <v>1</v>
      </c>
      <c r="C495">
        <v>21.513859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183.33</v>
      </c>
      <c r="M495">
        <v>666.91</v>
      </c>
      <c r="N495">
        <v>1560.34</v>
      </c>
      <c r="O495">
        <v>0.43</v>
      </c>
      <c r="P495">
        <v>0.22</v>
      </c>
      <c r="Q495">
        <v>31.6</v>
      </c>
      <c r="R495">
        <v>34.67</v>
      </c>
    </row>
    <row r="496" spans="1:18">
      <c r="A496">
        <v>42</v>
      </c>
      <c r="B496">
        <v>1</v>
      </c>
      <c r="C496">
        <v>20.535847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64.17</v>
      </c>
      <c r="M496">
        <v>202.61</v>
      </c>
      <c r="N496">
        <v>209.6</v>
      </c>
      <c r="O496">
        <v>0.97</v>
      </c>
      <c r="P496">
        <v>0.18</v>
      </c>
      <c r="Q496">
        <v>28.69</v>
      </c>
      <c r="R496">
        <v>10.36</v>
      </c>
    </row>
    <row r="497" spans="1:18">
      <c r="A497">
        <v>47</v>
      </c>
      <c r="B497">
        <v>1</v>
      </c>
      <c r="C497">
        <v>23.529411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111.35</v>
      </c>
      <c r="M497">
        <v>306.11</v>
      </c>
      <c r="N497">
        <v>872.04</v>
      </c>
      <c r="O497">
        <v>0.35</v>
      </c>
      <c r="P497">
        <v>0.69</v>
      </c>
      <c r="Q497">
        <v>31.15</v>
      </c>
      <c r="R497">
        <v>32.659999999999997</v>
      </c>
    </row>
    <row r="498" spans="1:18">
      <c r="A498">
        <v>43</v>
      </c>
      <c r="B498">
        <v>1</v>
      </c>
      <c r="C498">
        <v>38.163930000000001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13.3</v>
      </c>
      <c r="M498">
        <v>4.54</v>
      </c>
      <c r="N498">
        <v>3.58</v>
      </c>
      <c r="O498">
        <v>1.27</v>
      </c>
      <c r="P498">
        <v>0.11</v>
      </c>
      <c r="Q498">
        <v>26.02</v>
      </c>
      <c r="R498">
        <v>1.96</v>
      </c>
    </row>
    <row r="499" spans="1:18">
      <c r="A499">
        <v>30</v>
      </c>
      <c r="B499">
        <v>1</v>
      </c>
      <c r="C499">
        <v>22.857143000000001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108.04</v>
      </c>
      <c r="M499">
        <v>162.85</v>
      </c>
      <c r="N499">
        <v>324.02999999999997</v>
      </c>
      <c r="O499">
        <v>0.5</v>
      </c>
      <c r="P499">
        <v>0.3</v>
      </c>
      <c r="Q499">
        <v>28.88</v>
      </c>
      <c r="R499">
        <v>16.48</v>
      </c>
    </row>
    <row r="500" spans="1:18">
      <c r="A500">
        <v>29</v>
      </c>
      <c r="B500">
        <v>1</v>
      </c>
      <c r="C500">
        <v>29.757785999999999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155.49</v>
      </c>
      <c r="M500">
        <v>552.52</v>
      </c>
      <c r="N500">
        <v>629.75</v>
      </c>
      <c r="O500">
        <v>0.88</v>
      </c>
      <c r="P500">
        <v>2.65</v>
      </c>
      <c r="Q500">
        <v>29.81</v>
      </c>
      <c r="R500">
        <v>16.18</v>
      </c>
    </row>
    <row r="501" spans="1:18">
      <c r="A501">
        <v>30</v>
      </c>
      <c r="B501">
        <v>1</v>
      </c>
      <c r="C501">
        <v>20.478266000000001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203.23</v>
      </c>
      <c r="M501">
        <v>4936.2</v>
      </c>
      <c r="N501">
        <v>2279.11</v>
      </c>
      <c r="O501">
        <v>2.17</v>
      </c>
      <c r="P501">
        <v>0.13</v>
      </c>
      <c r="Q501">
        <v>30.2</v>
      </c>
      <c r="R501">
        <v>35.159999999999997</v>
      </c>
    </row>
    <row r="502" spans="1:18">
      <c r="A502">
        <v>36</v>
      </c>
      <c r="B502">
        <v>1</v>
      </c>
      <c r="C502">
        <v>24.508945000000001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77.83</v>
      </c>
      <c r="M502">
        <v>385.13</v>
      </c>
      <c r="N502">
        <v>483.09</v>
      </c>
      <c r="O502">
        <v>0.8</v>
      </c>
      <c r="P502">
        <v>0.33</v>
      </c>
      <c r="Q502">
        <v>31.28</v>
      </c>
      <c r="R502">
        <v>14.37</v>
      </c>
    </row>
    <row r="503" spans="1:18">
      <c r="A503">
        <v>21</v>
      </c>
      <c r="B503">
        <v>0</v>
      </c>
      <c r="C503">
        <v>24.243919999999999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31.11</v>
      </c>
      <c r="M503">
        <v>29.95</v>
      </c>
      <c r="N503">
        <v>43.02</v>
      </c>
      <c r="O503">
        <v>0.7</v>
      </c>
      <c r="P503">
        <v>1.59</v>
      </c>
      <c r="Q503">
        <v>30.49</v>
      </c>
      <c r="R503">
        <v>5.26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1D674-E6A4-4B8F-A75A-7B7FF1F8C0CE}">
  <dimension ref="A1:Y401"/>
  <sheetViews>
    <sheetView workbookViewId="0">
      <selection activeCell="R1" sqref="R1"/>
    </sheetView>
  </sheetViews>
  <sheetFormatPr defaultColWidth="10.140625" defaultRowHeight="14.25"/>
  <cols>
    <col min="1" max="1" width="14.85546875" style="3" bestFit="1" customWidth="1"/>
    <col min="2" max="2" width="14.85546875" style="3" customWidth="1"/>
    <col min="3" max="3" width="6" style="3" bestFit="1" customWidth="1"/>
    <col min="4" max="4" width="7" style="3" bestFit="1" customWidth="1"/>
    <col min="5" max="5" width="6.28515625" style="3" customWidth="1"/>
    <col min="6" max="6" width="6.140625" style="3" bestFit="1" customWidth="1"/>
    <col min="7" max="7" width="5.7109375" style="3" bestFit="1" customWidth="1"/>
    <col min="8" max="8" width="6.28515625" style="3" bestFit="1" customWidth="1"/>
    <col min="9" max="9" width="7.42578125" style="3" bestFit="1" customWidth="1"/>
    <col min="10" max="10" width="6.28515625" style="3" bestFit="1" customWidth="1"/>
    <col min="11" max="11" width="14.85546875" style="3" bestFit="1" customWidth="1"/>
    <col min="12" max="14" width="7.42578125" style="3" bestFit="1" customWidth="1"/>
    <col min="15" max="16" width="4.42578125" style="3" bestFit="1" customWidth="1"/>
    <col min="17" max="17" width="18" style="3" bestFit="1" customWidth="1"/>
    <col min="18" max="18" width="8" style="3" bestFit="1" customWidth="1"/>
    <col min="19" max="19" width="8.7109375" style="3" bestFit="1" customWidth="1"/>
    <col min="20" max="20" width="7.42578125" style="3" bestFit="1" customWidth="1"/>
    <col min="21" max="21" width="11" style="3" bestFit="1" customWidth="1"/>
    <col min="22" max="22" width="6.28515625" style="3" bestFit="1" customWidth="1"/>
    <col min="23" max="23" width="7.42578125" style="3" bestFit="1" customWidth="1"/>
    <col min="24" max="25" width="14.85546875" style="3" bestFit="1" customWidth="1"/>
    <col min="26" max="16384" width="10.140625" style="3"/>
  </cols>
  <sheetData>
    <row r="1" spans="1:25" s="1" customFormat="1" ht="15" thickBot="1">
      <c r="A1" s="1" t="s">
        <v>23</v>
      </c>
      <c r="B1" s="1" t="s">
        <v>764</v>
      </c>
      <c r="C1" s="2" t="s">
        <v>3</v>
      </c>
      <c r="D1" s="2" t="s">
        <v>5</v>
      </c>
      <c r="E1" s="2" t="s">
        <v>24</v>
      </c>
      <c r="F1" s="2" t="s">
        <v>25</v>
      </c>
      <c r="G1" s="1" t="s">
        <v>757</v>
      </c>
      <c r="H1" s="1" t="s">
        <v>758</v>
      </c>
      <c r="I1" s="1" t="s">
        <v>26</v>
      </c>
      <c r="J1" s="1" t="s">
        <v>27</v>
      </c>
      <c r="K1" s="1" t="s">
        <v>759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28</v>
      </c>
      <c r="R1" s="1" t="s">
        <v>772</v>
      </c>
      <c r="S1" s="1" t="s">
        <v>760</v>
      </c>
      <c r="T1" s="1" t="s">
        <v>773</v>
      </c>
      <c r="U1" s="1" t="s">
        <v>774</v>
      </c>
      <c r="V1" s="1" t="s">
        <v>761</v>
      </c>
      <c r="W1" s="1" t="s">
        <v>762</v>
      </c>
      <c r="X1" s="1" t="s">
        <v>775</v>
      </c>
      <c r="Y1" s="1" t="s">
        <v>763</v>
      </c>
    </row>
    <row r="2" spans="1:25">
      <c r="A2" s="3" t="s">
        <v>29</v>
      </c>
      <c r="B2" s="3">
        <v>0</v>
      </c>
      <c r="C2" s="3">
        <v>1</v>
      </c>
      <c r="D2" s="3">
        <v>0</v>
      </c>
      <c r="E2" s="3">
        <v>0</v>
      </c>
      <c r="F2" s="3">
        <v>0</v>
      </c>
      <c r="G2" s="3">
        <v>1</v>
      </c>
      <c r="H2" s="3">
        <v>46</v>
      </c>
      <c r="I2" s="3">
        <v>175</v>
      </c>
      <c r="J2" s="3">
        <v>80</v>
      </c>
      <c r="K2" s="3">
        <v>26.122448979591837</v>
      </c>
      <c r="L2" s="3">
        <v>12</v>
      </c>
      <c r="M2" s="3">
        <v>16</v>
      </c>
      <c r="N2" s="3">
        <v>58</v>
      </c>
      <c r="O2" s="3">
        <v>29</v>
      </c>
      <c r="P2" s="3">
        <v>16</v>
      </c>
      <c r="Q2" s="3" t="s">
        <v>30</v>
      </c>
      <c r="R2" s="3">
        <v>76</v>
      </c>
      <c r="S2" s="3">
        <v>22</v>
      </c>
      <c r="T2" s="3">
        <v>579</v>
      </c>
      <c r="U2" s="3">
        <v>296</v>
      </c>
      <c r="V2" s="3">
        <v>209</v>
      </c>
      <c r="W2" s="3">
        <v>58</v>
      </c>
      <c r="X2" s="3">
        <v>73.851590106007066</v>
      </c>
      <c r="Y2" s="3">
        <v>3.603448275862069</v>
      </c>
    </row>
    <row r="3" spans="1:25">
      <c r="A3" s="3" t="s">
        <v>31</v>
      </c>
      <c r="B3" s="3">
        <v>0</v>
      </c>
      <c r="C3" s="3">
        <v>1</v>
      </c>
      <c r="D3" s="3">
        <v>1</v>
      </c>
      <c r="E3" s="3">
        <v>1</v>
      </c>
      <c r="F3" s="3">
        <v>0</v>
      </c>
      <c r="G3" s="3">
        <v>1</v>
      </c>
      <c r="H3" s="3">
        <v>49</v>
      </c>
      <c r="I3" s="3">
        <v>166</v>
      </c>
      <c r="J3" s="3">
        <v>58</v>
      </c>
      <c r="K3" s="3">
        <v>21.048047612135289</v>
      </c>
      <c r="L3" s="3">
        <v>12</v>
      </c>
      <c r="M3" s="3">
        <v>6</v>
      </c>
      <c r="N3" s="3">
        <v>42</v>
      </c>
      <c r="O3" s="3">
        <v>19</v>
      </c>
      <c r="P3" s="3">
        <v>19</v>
      </c>
      <c r="Q3" s="3" t="s">
        <v>32</v>
      </c>
      <c r="R3" s="3">
        <v>80</v>
      </c>
      <c r="S3" s="3">
        <v>26</v>
      </c>
      <c r="T3" s="3">
        <v>706</v>
      </c>
      <c r="U3" s="3">
        <v>320</v>
      </c>
      <c r="V3" s="3">
        <v>322</v>
      </c>
      <c r="W3" s="3">
        <v>51</v>
      </c>
      <c r="X3" s="3">
        <v>83.419689119170982</v>
      </c>
      <c r="Y3" s="3">
        <v>6.3137254901960782</v>
      </c>
    </row>
    <row r="4" spans="1:25">
      <c r="A4" s="3" t="s">
        <v>33</v>
      </c>
      <c r="B4" s="3">
        <v>0</v>
      </c>
      <c r="C4" s="3">
        <v>1</v>
      </c>
      <c r="D4" s="3">
        <v>1</v>
      </c>
      <c r="E4" s="3">
        <v>0</v>
      </c>
      <c r="F4" s="3">
        <v>0</v>
      </c>
      <c r="G4" s="3">
        <v>0</v>
      </c>
      <c r="H4" s="3">
        <v>42</v>
      </c>
      <c r="I4" s="3">
        <v>168</v>
      </c>
      <c r="J4" s="3">
        <v>55</v>
      </c>
      <c r="K4" s="3">
        <v>19.486961451247168</v>
      </c>
      <c r="L4" s="3">
        <v>28</v>
      </c>
      <c r="M4" s="3">
        <v>34</v>
      </c>
      <c r="N4" s="3">
        <v>71</v>
      </c>
      <c r="O4" s="3">
        <v>38</v>
      </c>
      <c r="P4" s="3">
        <v>41</v>
      </c>
      <c r="Q4" s="3" t="s">
        <v>34</v>
      </c>
      <c r="R4" s="3">
        <v>56</v>
      </c>
      <c r="S4" s="3">
        <v>48</v>
      </c>
      <c r="T4" s="3">
        <v>2467</v>
      </c>
      <c r="U4" s="3">
        <v>1583</v>
      </c>
      <c r="V4" s="3">
        <v>598</v>
      </c>
      <c r="W4" s="3">
        <v>224</v>
      </c>
      <c r="X4" s="3">
        <v>67.647058823529406</v>
      </c>
      <c r="Y4" s="3">
        <v>2.6696428571428572</v>
      </c>
    </row>
    <row r="5" spans="1:25">
      <c r="A5" s="3" t="s">
        <v>35</v>
      </c>
      <c r="B5" s="3">
        <v>0</v>
      </c>
      <c r="C5" s="3">
        <v>1</v>
      </c>
      <c r="D5" s="3">
        <v>0</v>
      </c>
      <c r="E5" s="3">
        <v>1</v>
      </c>
      <c r="F5" s="3">
        <v>0</v>
      </c>
      <c r="G5" s="3">
        <v>0</v>
      </c>
      <c r="H5" s="3">
        <v>43</v>
      </c>
      <c r="I5" s="3">
        <v>168</v>
      </c>
      <c r="J5" s="3">
        <v>45</v>
      </c>
      <c r="K5" s="3">
        <v>15.94387755102041</v>
      </c>
      <c r="L5" s="3">
        <v>17</v>
      </c>
      <c r="M5" s="3">
        <v>29</v>
      </c>
      <c r="N5" s="3">
        <v>57</v>
      </c>
      <c r="O5" s="3">
        <v>10</v>
      </c>
      <c r="P5" s="3">
        <v>26</v>
      </c>
      <c r="Q5" s="3" t="s">
        <v>36</v>
      </c>
      <c r="R5" s="3">
        <v>76</v>
      </c>
      <c r="S5" s="3">
        <v>22</v>
      </c>
      <c r="T5" s="3">
        <v>463</v>
      </c>
      <c r="U5" s="3">
        <v>115</v>
      </c>
      <c r="V5" s="3">
        <v>137</v>
      </c>
      <c r="W5" s="3">
        <v>163</v>
      </c>
      <c r="X5" s="3">
        <v>39.367816091954026</v>
      </c>
      <c r="Y5" s="3">
        <v>0.8404907975460123</v>
      </c>
    </row>
    <row r="6" spans="1:25">
      <c r="A6" s="3" t="s">
        <v>37</v>
      </c>
      <c r="B6" s="3">
        <v>0</v>
      </c>
      <c r="C6" s="3">
        <v>1</v>
      </c>
      <c r="D6" s="3">
        <v>1</v>
      </c>
      <c r="E6" s="3">
        <v>1</v>
      </c>
      <c r="F6" s="3">
        <v>0</v>
      </c>
      <c r="G6" s="3">
        <v>0</v>
      </c>
      <c r="H6" s="3">
        <v>24</v>
      </c>
      <c r="I6" s="3">
        <v>153</v>
      </c>
      <c r="J6" s="3">
        <v>75</v>
      </c>
      <c r="K6" s="3">
        <v>32.038959374599514</v>
      </c>
      <c r="L6" s="3">
        <v>11</v>
      </c>
      <c r="M6" s="3">
        <v>33</v>
      </c>
      <c r="N6" s="3">
        <v>68</v>
      </c>
      <c r="O6" s="3">
        <v>20</v>
      </c>
      <c r="P6" s="3">
        <v>29</v>
      </c>
      <c r="Q6" s="3" t="s">
        <v>38</v>
      </c>
      <c r="R6" s="3">
        <v>65</v>
      </c>
      <c r="S6" s="3">
        <v>32</v>
      </c>
      <c r="T6" s="3">
        <v>984</v>
      </c>
      <c r="U6" s="3">
        <v>344</v>
      </c>
      <c r="V6" s="3">
        <v>271</v>
      </c>
      <c r="W6" s="3">
        <v>306</v>
      </c>
      <c r="X6" s="3">
        <v>42.34375</v>
      </c>
      <c r="Y6" s="3">
        <v>0.8856209150326797</v>
      </c>
    </row>
    <row r="7" spans="1:25">
      <c r="A7" s="3" t="s">
        <v>39</v>
      </c>
      <c r="B7" s="3">
        <v>0</v>
      </c>
      <c r="C7" s="3">
        <v>1</v>
      </c>
      <c r="D7" s="3">
        <v>0</v>
      </c>
      <c r="E7" s="3">
        <v>0</v>
      </c>
      <c r="F7" s="3">
        <v>0</v>
      </c>
      <c r="G7" s="3">
        <v>0</v>
      </c>
      <c r="H7" s="3">
        <v>37</v>
      </c>
      <c r="I7" s="3">
        <v>168</v>
      </c>
      <c r="J7" s="3">
        <v>40</v>
      </c>
      <c r="K7" s="3">
        <v>14.172335600907031</v>
      </c>
      <c r="L7" s="3">
        <v>7</v>
      </c>
      <c r="M7" s="3">
        <v>11</v>
      </c>
      <c r="N7" s="3">
        <v>23</v>
      </c>
      <c r="O7" s="3">
        <v>8</v>
      </c>
      <c r="P7" s="3">
        <v>4</v>
      </c>
      <c r="Q7" s="3" t="s">
        <v>40</v>
      </c>
      <c r="R7" s="3">
        <v>84</v>
      </c>
      <c r="S7" s="3">
        <v>44</v>
      </c>
      <c r="T7" s="3">
        <v>1705</v>
      </c>
      <c r="U7" s="3">
        <v>384</v>
      </c>
      <c r="V7" s="3">
        <v>340</v>
      </c>
      <c r="W7" s="3">
        <v>495</v>
      </c>
      <c r="X7" s="3">
        <v>25.738077214231641</v>
      </c>
      <c r="Y7" s="3">
        <v>0.68686868686868685</v>
      </c>
    </row>
    <row r="8" spans="1:25">
      <c r="A8" s="3" t="s">
        <v>41</v>
      </c>
      <c r="B8" s="3">
        <v>0</v>
      </c>
      <c r="C8" s="3">
        <v>1</v>
      </c>
      <c r="D8" s="3">
        <v>0</v>
      </c>
      <c r="E8" s="3">
        <v>0</v>
      </c>
      <c r="F8" s="3">
        <v>0</v>
      </c>
      <c r="G8" s="3">
        <v>1</v>
      </c>
      <c r="H8" s="3">
        <v>41</v>
      </c>
      <c r="I8" s="3">
        <v>175</v>
      </c>
      <c r="J8" s="3">
        <v>67.5</v>
      </c>
      <c r="K8" s="3">
        <v>22.040816326530614</v>
      </c>
      <c r="L8" s="3">
        <v>10</v>
      </c>
      <c r="M8" s="3">
        <v>50</v>
      </c>
      <c r="N8" s="3">
        <v>86</v>
      </c>
      <c r="O8" s="3">
        <v>27</v>
      </c>
      <c r="P8" s="3">
        <v>18</v>
      </c>
      <c r="Q8" s="3" t="s">
        <v>42</v>
      </c>
      <c r="R8" s="3">
        <v>79</v>
      </c>
      <c r="S8" s="3">
        <v>23</v>
      </c>
      <c r="T8" s="3">
        <v>502</v>
      </c>
      <c r="U8" s="3">
        <v>160</v>
      </c>
      <c r="V8" s="3">
        <v>95</v>
      </c>
      <c r="W8" s="3">
        <v>188</v>
      </c>
      <c r="X8" s="3">
        <v>27.777777777777779</v>
      </c>
      <c r="Y8" s="3">
        <v>0.50531914893617025</v>
      </c>
    </row>
    <row r="9" spans="1:25">
      <c r="A9" s="3" t="s">
        <v>43</v>
      </c>
      <c r="B9" s="3">
        <v>0</v>
      </c>
      <c r="C9" s="3">
        <v>1</v>
      </c>
      <c r="D9" s="3">
        <v>1</v>
      </c>
      <c r="E9" s="3">
        <v>0</v>
      </c>
      <c r="F9" s="3">
        <v>0</v>
      </c>
      <c r="G9" s="3">
        <v>0</v>
      </c>
      <c r="H9" s="3">
        <v>40</v>
      </c>
      <c r="I9" s="3">
        <v>164</v>
      </c>
      <c r="J9" s="3">
        <v>46</v>
      </c>
      <c r="K9" s="3">
        <v>17.102914931588344</v>
      </c>
      <c r="L9" s="3">
        <v>10</v>
      </c>
      <c r="M9" s="3">
        <v>25</v>
      </c>
      <c r="N9" s="3">
        <v>59</v>
      </c>
      <c r="O9" s="3">
        <v>8</v>
      </c>
      <c r="P9" s="3">
        <v>12</v>
      </c>
      <c r="Q9" s="3" t="s">
        <v>44</v>
      </c>
      <c r="R9" s="3">
        <v>104</v>
      </c>
      <c r="S9" s="3">
        <v>231</v>
      </c>
      <c r="T9" s="3">
        <v>0</v>
      </c>
      <c r="U9" s="3">
        <v>0</v>
      </c>
      <c r="V9" s="3">
        <v>0</v>
      </c>
      <c r="W9" s="3">
        <v>0</v>
      </c>
      <c r="X9" s="3" t="e">
        <v>#DIV/0!</v>
      </c>
      <c r="Y9" s="3" t="e">
        <v>#DIV/0!</v>
      </c>
    </row>
    <row r="10" spans="1:25">
      <c r="A10" s="3" t="s">
        <v>45</v>
      </c>
      <c r="B10" s="3">
        <v>1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35</v>
      </c>
      <c r="I10" s="3">
        <v>156</v>
      </c>
      <c r="J10" s="3">
        <v>52</v>
      </c>
      <c r="K10" s="3">
        <v>21.367521367521366</v>
      </c>
      <c r="L10" s="3">
        <v>3</v>
      </c>
      <c r="M10" s="3">
        <v>17</v>
      </c>
      <c r="N10" s="3">
        <v>49</v>
      </c>
      <c r="O10" s="3">
        <v>1</v>
      </c>
      <c r="P10" s="3">
        <v>4</v>
      </c>
      <c r="Q10" s="3" t="s">
        <v>46</v>
      </c>
      <c r="R10" s="3">
        <v>74</v>
      </c>
      <c r="S10" s="3">
        <v>37</v>
      </c>
      <c r="T10" s="3">
        <v>1420</v>
      </c>
      <c r="U10" s="3">
        <v>930</v>
      </c>
      <c r="V10" s="3">
        <v>337</v>
      </c>
      <c r="W10" s="3">
        <v>124</v>
      </c>
      <c r="X10" s="3">
        <v>68.775510204081627</v>
      </c>
      <c r="Y10" s="3">
        <v>2.717741935483871</v>
      </c>
    </row>
    <row r="11" spans="1:25" ht="21.6" customHeight="1">
      <c r="A11" s="3" t="s">
        <v>47</v>
      </c>
      <c r="B11" s="3">
        <v>1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34</v>
      </c>
      <c r="I11" s="3">
        <v>158</v>
      </c>
      <c r="J11" s="3">
        <v>67</v>
      </c>
      <c r="K11" s="3">
        <v>26.83864765261977</v>
      </c>
      <c r="L11" s="3">
        <v>0</v>
      </c>
      <c r="M11" s="3">
        <v>16</v>
      </c>
      <c r="N11" s="3">
        <v>48</v>
      </c>
      <c r="O11" s="3">
        <v>27</v>
      </c>
      <c r="P11" s="3">
        <v>1</v>
      </c>
      <c r="Q11" s="3" t="s">
        <v>48</v>
      </c>
      <c r="R11" s="3">
        <v>73</v>
      </c>
      <c r="S11" s="3">
        <v>62</v>
      </c>
      <c r="T11" s="3">
        <v>3770</v>
      </c>
      <c r="U11" s="3">
        <v>1696</v>
      </c>
      <c r="V11" s="3">
        <v>1541</v>
      </c>
      <c r="W11" s="3">
        <v>445</v>
      </c>
      <c r="X11" s="3">
        <v>74.300867888138868</v>
      </c>
      <c r="Y11" s="3">
        <v>3.4629213483146066</v>
      </c>
    </row>
    <row r="12" spans="1:25" ht="21.6" customHeight="1">
      <c r="A12" s="3" t="s">
        <v>49</v>
      </c>
      <c r="B12" s="3">
        <v>1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31</v>
      </c>
      <c r="I12" s="3">
        <v>163</v>
      </c>
      <c r="J12" s="3">
        <v>61</v>
      </c>
      <c r="K12" s="3">
        <v>22.959087658549439</v>
      </c>
      <c r="L12" s="3">
        <v>5</v>
      </c>
      <c r="M12" s="3">
        <v>13</v>
      </c>
      <c r="N12" s="3">
        <v>49</v>
      </c>
      <c r="O12" s="3">
        <v>4</v>
      </c>
      <c r="P12" s="3">
        <v>3</v>
      </c>
      <c r="Q12" s="3" t="s">
        <v>50</v>
      </c>
      <c r="R12" s="3">
        <v>66</v>
      </c>
      <c r="S12" s="3">
        <v>61</v>
      </c>
      <c r="T12" s="3">
        <v>3317</v>
      </c>
      <c r="U12" s="3">
        <v>1549</v>
      </c>
      <c r="V12" s="3">
        <v>1231</v>
      </c>
      <c r="W12" s="3">
        <v>439</v>
      </c>
      <c r="X12" s="3">
        <v>69.626696832579185</v>
      </c>
      <c r="Y12" s="3">
        <v>2.8041002277904328</v>
      </c>
    </row>
    <row r="13" spans="1:25" ht="21.6" customHeight="1">
      <c r="A13" s="3" t="s">
        <v>51</v>
      </c>
      <c r="B13" s="3">
        <v>1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40</v>
      </c>
      <c r="I13" s="3">
        <v>157</v>
      </c>
      <c r="J13" s="3">
        <v>52</v>
      </c>
      <c r="K13" s="3">
        <v>21.096190514828187</v>
      </c>
      <c r="L13" s="3">
        <v>7</v>
      </c>
      <c r="M13" s="3">
        <v>8</v>
      </c>
      <c r="N13" s="3">
        <v>40</v>
      </c>
      <c r="O13" s="3">
        <v>4</v>
      </c>
      <c r="P13" s="3">
        <v>1</v>
      </c>
      <c r="Q13" s="3" t="s">
        <v>52</v>
      </c>
      <c r="R13" s="3">
        <v>78</v>
      </c>
      <c r="S13" s="3">
        <v>35</v>
      </c>
      <c r="T13" s="3">
        <v>1414</v>
      </c>
      <c r="U13" s="3">
        <v>801</v>
      </c>
      <c r="V13" s="3">
        <v>450</v>
      </c>
      <c r="W13" s="3">
        <v>123</v>
      </c>
      <c r="X13" s="3">
        <v>73.409461663947795</v>
      </c>
      <c r="Y13" s="3">
        <v>3.6585365853658538</v>
      </c>
    </row>
    <row r="14" spans="1:25" ht="21.6" customHeight="1">
      <c r="A14" s="3" t="s">
        <v>53</v>
      </c>
      <c r="B14" s="3">
        <v>1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38</v>
      </c>
      <c r="I14" s="3">
        <v>158</v>
      </c>
      <c r="J14" s="3">
        <v>65</v>
      </c>
      <c r="K14" s="3">
        <v>26.037493991347535</v>
      </c>
      <c r="L14" s="3">
        <v>0</v>
      </c>
      <c r="M14" s="3">
        <v>21</v>
      </c>
      <c r="N14" s="3">
        <v>54</v>
      </c>
      <c r="O14" s="3">
        <v>0</v>
      </c>
      <c r="P14" s="3">
        <v>0</v>
      </c>
      <c r="Q14" s="3" t="s">
        <v>54</v>
      </c>
      <c r="R14" s="3">
        <v>84</v>
      </c>
      <c r="S14" s="3">
        <v>20</v>
      </c>
      <c r="T14" s="3">
        <v>437</v>
      </c>
      <c r="U14" s="3">
        <v>203</v>
      </c>
      <c r="V14" s="3">
        <v>145</v>
      </c>
      <c r="W14" s="3">
        <v>63</v>
      </c>
      <c r="X14" s="3">
        <v>61.965811965811966</v>
      </c>
      <c r="Y14" s="3">
        <v>2.3015873015873014</v>
      </c>
    </row>
    <row r="15" spans="1:25" ht="21.6" customHeight="1">
      <c r="A15" s="3" t="s">
        <v>55</v>
      </c>
      <c r="B15" s="3">
        <v>1</v>
      </c>
      <c r="C15" s="3">
        <v>0</v>
      </c>
      <c r="D15" s="3">
        <v>0</v>
      </c>
      <c r="E15" s="3">
        <v>0</v>
      </c>
      <c r="F15" s="3">
        <v>0</v>
      </c>
      <c r="G15" s="3">
        <v>1</v>
      </c>
      <c r="H15" s="3">
        <v>26</v>
      </c>
      <c r="I15" s="3">
        <v>173</v>
      </c>
      <c r="J15" s="3">
        <v>75</v>
      </c>
      <c r="K15" s="3">
        <v>25.059307026629689</v>
      </c>
      <c r="L15" s="3">
        <v>4</v>
      </c>
      <c r="M15" s="3">
        <v>14</v>
      </c>
      <c r="N15" s="3">
        <v>57</v>
      </c>
      <c r="O15" s="3">
        <v>10</v>
      </c>
      <c r="P15" s="3">
        <v>7</v>
      </c>
      <c r="Q15" s="3" t="s">
        <v>56</v>
      </c>
      <c r="R15" s="3">
        <v>77</v>
      </c>
      <c r="S15" s="3">
        <v>48</v>
      </c>
      <c r="T15" s="3">
        <v>2232</v>
      </c>
      <c r="U15" s="3">
        <v>706</v>
      </c>
      <c r="V15" s="3">
        <v>721</v>
      </c>
      <c r="W15" s="3">
        <v>639</v>
      </c>
      <c r="X15" s="3">
        <v>47.247706422018346</v>
      </c>
      <c r="Y15" s="3">
        <v>1.1283255086071988</v>
      </c>
    </row>
    <row r="16" spans="1:25" ht="21.6" customHeight="1">
      <c r="A16" s="3" t="s">
        <v>57</v>
      </c>
      <c r="B16" s="3">
        <v>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39</v>
      </c>
      <c r="I16" s="3">
        <v>158</v>
      </c>
      <c r="J16" s="3">
        <v>49</v>
      </c>
      <c r="K16" s="3">
        <v>19.62826470116968</v>
      </c>
      <c r="L16" s="3">
        <v>2</v>
      </c>
      <c r="M16" s="3">
        <v>5</v>
      </c>
      <c r="N16" s="3">
        <v>42</v>
      </c>
      <c r="O16" s="3">
        <v>1</v>
      </c>
      <c r="P16" s="3">
        <v>3</v>
      </c>
      <c r="Q16" s="3" t="s">
        <v>58</v>
      </c>
      <c r="R16" s="3">
        <v>75</v>
      </c>
      <c r="S16" s="3">
        <v>35</v>
      </c>
      <c r="T16" s="3">
        <v>1325</v>
      </c>
      <c r="U16" s="3">
        <v>754</v>
      </c>
      <c r="V16" s="3">
        <v>231</v>
      </c>
      <c r="W16" s="3">
        <v>250</v>
      </c>
      <c r="X16" s="3">
        <v>40.455341506129599</v>
      </c>
      <c r="Y16" s="3">
        <v>0.92400000000000004</v>
      </c>
    </row>
    <row r="17" spans="1:25" ht="21.6" customHeight="1">
      <c r="A17" s="3" t="s">
        <v>59</v>
      </c>
      <c r="B17" s="3">
        <v>1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37</v>
      </c>
      <c r="I17" s="3">
        <v>160</v>
      </c>
      <c r="J17" s="3">
        <v>80</v>
      </c>
      <c r="K17" s="3">
        <v>31.249999999999993</v>
      </c>
      <c r="L17" s="3">
        <v>2</v>
      </c>
      <c r="M17" s="3">
        <v>1</v>
      </c>
      <c r="N17" s="3">
        <v>48</v>
      </c>
      <c r="O17" s="3">
        <v>1</v>
      </c>
      <c r="P17" s="3">
        <v>0</v>
      </c>
      <c r="Q17" s="3" t="s">
        <v>60</v>
      </c>
      <c r="R17" s="3">
        <v>69</v>
      </c>
      <c r="S17" s="3">
        <v>49</v>
      </c>
      <c r="T17" s="3">
        <v>2717</v>
      </c>
      <c r="U17" s="3">
        <v>1936</v>
      </c>
      <c r="V17" s="3">
        <v>611</v>
      </c>
      <c r="W17" s="3">
        <v>114</v>
      </c>
      <c r="X17" s="3">
        <v>78.233034571062745</v>
      </c>
      <c r="Y17" s="3">
        <v>5.3596491228070171</v>
      </c>
    </row>
    <row r="18" spans="1:25" ht="21.6" customHeight="1">
      <c r="A18" s="3" t="s">
        <v>61</v>
      </c>
      <c r="B18" s="3">
        <v>1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33</v>
      </c>
      <c r="I18" s="3">
        <v>156</v>
      </c>
      <c r="J18" s="3">
        <v>62</v>
      </c>
      <c r="K18" s="3">
        <v>25.476660092044707</v>
      </c>
      <c r="L18" s="3">
        <v>5</v>
      </c>
      <c r="M18" s="3">
        <v>17</v>
      </c>
      <c r="N18" s="3">
        <v>57</v>
      </c>
      <c r="O18" s="3">
        <v>12</v>
      </c>
      <c r="P18" s="3">
        <v>6</v>
      </c>
      <c r="Q18" s="3" t="s">
        <v>62</v>
      </c>
      <c r="R18" s="3">
        <v>64</v>
      </c>
      <c r="S18" s="3">
        <v>50</v>
      </c>
      <c r="T18" s="3">
        <v>2169</v>
      </c>
      <c r="U18" s="3">
        <v>553</v>
      </c>
      <c r="V18" s="3">
        <v>296</v>
      </c>
      <c r="W18" s="3">
        <v>1169</v>
      </c>
      <c r="X18" s="3">
        <v>18.316831683168317</v>
      </c>
      <c r="Y18" s="3">
        <v>0.25320786997433703</v>
      </c>
    </row>
    <row r="19" spans="1:25" ht="21.6" customHeight="1">
      <c r="A19" s="3" t="s">
        <v>63</v>
      </c>
      <c r="B19" s="3">
        <v>1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29</v>
      </c>
      <c r="I19" s="3">
        <v>163</v>
      </c>
      <c r="J19" s="3">
        <v>61</v>
      </c>
      <c r="K19" s="3">
        <v>22.959087658549439</v>
      </c>
      <c r="L19" s="3">
        <v>1</v>
      </c>
      <c r="M19" s="3">
        <v>6</v>
      </c>
      <c r="N19" s="3">
        <v>32</v>
      </c>
      <c r="O19" s="3">
        <v>3</v>
      </c>
      <c r="P19" s="3">
        <v>0</v>
      </c>
      <c r="Q19" s="3" t="s">
        <v>64</v>
      </c>
      <c r="R19" s="3">
        <v>70</v>
      </c>
      <c r="S19" s="3">
        <v>59</v>
      </c>
      <c r="T19" s="3">
        <v>3595</v>
      </c>
      <c r="U19" s="3">
        <v>1354</v>
      </c>
      <c r="V19" s="3">
        <v>1584</v>
      </c>
      <c r="W19" s="3">
        <v>542</v>
      </c>
      <c r="X19" s="3">
        <v>70.682730923694777</v>
      </c>
      <c r="Y19" s="3">
        <v>2.9225092250922509</v>
      </c>
    </row>
    <row r="20" spans="1:25" ht="21.6" customHeight="1">
      <c r="A20" s="3" t="s">
        <v>65</v>
      </c>
      <c r="B20" s="3">
        <v>1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39</v>
      </c>
      <c r="I20" s="3">
        <v>167</v>
      </c>
      <c r="J20" s="3">
        <v>65</v>
      </c>
      <c r="K20" s="3">
        <v>23.306680053067517</v>
      </c>
      <c r="L20" s="3">
        <v>11</v>
      </c>
      <c r="M20" s="3">
        <v>11</v>
      </c>
      <c r="N20" s="3">
        <v>60</v>
      </c>
      <c r="O20" s="3">
        <v>3</v>
      </c>
      <c r="P20" s="3">
        <v>5</v>
      </c>
      <c r="Q20" s="3" t="s">
        <v>66</v>
      </c>
      <c r="R20" s="3">
        <v>83</v>
      </c>
      <c r="S20" s="3">
        <v>38</v>
      </c>
      <c r="T20" s="3">
        <v>1521</v>
      </c>
      <c r="U20" s="3">
        <v>692</v>
      </c>
      <c r="V20" s="3">
        <v>436</v>
      </c>
      <c r="W20" s="3">
        <v>338</v>
      </c>
      <c r="X20" s="3">
        <v>52.5934861278649</v>
      </c>
      <c r="Y20" s="3">
        <v>1.2899408284023668</v>
      </c>
    </row>
    <row r="21" spans="1:25" ht="21.6" customHeight="1">
      <c r="A21" s="3" t="s">
        <v>67</v>
      </c>
      <c r="B21" s="3">
        <v>1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37</v>
      </c>
      <c r="I21" s="3">
        <v>163</v>
      </c>
      <c r="J21" s="3">
        <v>56</v>
      </c>
      <c r="K21" s="3">
        <v>21.077195227520797</v>
      </c>
      <c r="L21" s="3">
        <v>6</v>
      </c>
      <c r="M21" s="3">
        <v>19</v>
      </c>
      <c r="N21" s="3">
        <v>49</v>
      </c>
      <c r="O21" s="3">
        <v>14</v>
      </c>
      <c r="P21" s="3">
        <v>7</v>
      </c>
      <c r="Q21" s="3" t="s">
        <v>68</v>
      </c>
      <c r="R21" s="3">
        <v>78</v>
      </c>
      <c r="S21" s="3">
        <v>29</v>
      </c>
      <c r="T21" s="3">
        <v>942</v>
      </c>
      <c r="U21" s="3">
        <v>556</v>
      </c>
      <c r="V21" s="3">
        <v>158</v>
      </c>
      <c r="W21" s="3">
        <v>186</v>
      </c>
      <c r="X21" s="3">
        <v>40.932642487046635</v>
      </c>
      <c r="Y21" s="3">
        <v>0.84946236559139787</v>
      </c>
    </row>
    <row r="22" spans="1:25" ht="21.6" customHeight="1">
      <c r="A22" s="3" t="s">
        <v>69</v>
      </c>
      <c r="B22" s="3">
        <v>1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33</v>
      </c>
      <c r="I22" s="3">
        <v>153</v>
      </c>
      <c r="J22" s="3">
        <v>49</v>
      </c>
      <c r="K22" s="3">
        <v>20.932120124738347</v>
      </c>
      <c r="L22" s="3">
        <v>5</v>
      </c>
      <c r="M22" s="3">
        <v>9</v>
      </c>
      <c r="N22" s="3">
        <v>42</v>
      </c>
      <c r="O22" s="3">
        <v>3</v>
      </c>
      <c r="P22" s="3">
        <v>2</v>
      </c>
      <c r="Q22" s="3" t="s">
        <v>70</v>
      </c>
      <c r="R22" s="3">
        <v>87</v>
      </c>
      <c r="S22" s="3">
        <v>28</v>
      </c>
      <c r="T22" s="3">
        <v>839</v>
      </c>
      <c r="U22" s="3">
        <v>493</v>
      </c>
      <c r="V22" s="3">
        <v>212</v>
      </c>
      <c r="W22" s="3">
        <v>105</v>
      </c>
      <c r="X22" s="3">
        <v>61.271676300578036</v>
      </c>
      <c r="Y22" s="3">
        <v>2.019047619047619</v>
      </c>
    </row>
    <row r="23" spans="1:25" ht="21.6" customHeight="1">
      <c r="A23" s="3" t="s">
        <v>71</v>
      </c>
      <c r="B23" s="3">
        <v>1</v>
      </c>
      <c r="C23" s="3">
        <v>0</v>
      </c>
      <c r="D23" s="3">
        <v>0</v>
      </c>
      <c r="E23" s="3">
        <v>0</v>
      </c>
      <c r="F23" s="3">
        <v>0</v>
      </c>
      <c r="G23" s="3">
        <v>1</v>
      </c>
      <c r="H23" s="3">
        <v>25</v>
      </c>
      <c r="I23" s="3">
        <v>164</v>
      </c>
      <c r="J23" s="3">
        <v>50</v>
      </c>
      <c r="K23" s="3">
        <v>18.590124925639504</v>
      </c>
      <c r="L23" s="3">
        <v>0</v>
      </c>
      <c r="M23" s="3">
        <v>8</v>
      </c>
      <c r="N23" s="3">
        <v>51</v>
      </c>
      <c r="O23" s="3">
        <v>1</v>
      </c>
      <c r="P23" s="3">
        <v>1</v>
      </c>
      <c r="Q23" s="3" t="s">
        <v>72</v>
      </c>
      <c r="R23" s="3">
        <v>71</v>
      </c>
      <c r="S23" s="3">
        <v>66</v>
      </c>
      <c r="T23" s="3">
        <v>4180</v>
      </c>
      <c r="U23" s="3">
        <v>1489</v>
      </c>
      <c r="V23" s="3">
        <v>1165</v>
      </c>
      <c r="W23" s="3">
        <v>1431</v>
      </c>
      <c r="X23" s="3">
        <v>43.292456335934595</v>
      </c>
      <c r="Y23" s="3">
        <v>0.81411600279524809</v>
      </c>
    </row>
    <row r="24" spans="1:25" ht="21.6" customHeight="1">
      <c r="A24" s="3" t="s">
        <v>73</v>
      </c>
      <c r="B24" s="3">
        <v>1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42</v>
      </c>
      <c r="I24" s="3">
        <v>163</v>
      </c>
      <c r="J24" s="3">
        <v>53</v>
      </c>
      <c r="K24" s="3">
        <v>19.948059768903612</v>
      </c>
      <c r="L24" s="3">
        <v>6</v>
      </c>
      <c r="M24" s="3">
        <v>6</v>
      </c>
      <c r="N24" s="3">
        <v>55</v>
      </c>
      <c r="O24" s="3">
        <v>7</v>
      </c>
      <c r="P24" s="3">
        <v>4</v>
      </c>
      <c r="Q24" s="3" t="s">
        <v>74</v>
      </c>
      <c r="R24" s="3">
        <v>88</v>
      </c>
      <c r="S24" s="3">
        <v>28</v>
      </c>
      <c r="T24" s="3">
        <v>819</v>
      </c>
      <c r="U24" s="3">
        <v>478</v>
      </c>
      <c r="V24" s="3">
        <v>178</v>
      </c>
      <c r="W24" s="3">
        <v>130</v>
      </c>
      <c r="X24" s="3">
        <v>52.199413489736074</v>
      </c>
      <c r="Y24" s="3">
        <v>1.3692307692307693</v>
      </c>
    </row>
    <row r="25" spans="1:25" s="4" customFormat="1" ht="21.6" customHeight="1">
      <c r="A25" s="4" t="s">
        <v>75</v>
      </c>
      <c r="B25" s="3">
        <v>1</v>
      </c>
      <c r="C25" s="4">
        <v>0</v>
      </c>
      <c r="D25" s="4">
        <v>0</v>
      </c>
      <c r="E25" s="4">
        <v>0</v>
      </c>
      <c r="F25" s="4">
        <v>0</v>
      </c>
      <c r="G25" s="4">
        <v>1</v>
      </c>
      <c r="H25" s="4">
        <v>30</v>
      </c>
      <c r="I25" s="4">
        <v>169.8</v>
      </c>
      <c r="J25" s="4">
        <v>73</v>
      </c>
      <c r="K25" s="4">
        <v>25.31905477378638</v>
      </c>
      <c r="L25" s="4">
        <v>4</v>
      </c>
      <c r="M25" s="4">
        <v>30</v>
      </c>
      <c r="N25" s="4">
        <v>67</v>
      </c>
      <c r="O25" s="4">
        <v>13</v>
      </c>
      <c r="P25" s="4">
        <v>13</v>
      </c>
      <c r="Q25" s="3" t="s">
        <v>76</v>
      </c>
      <c r="R25" s="4">
        <v>94</v>
      </c>
      <c r="S25" s="4">
        <v>12</v>
      </c>
      <c r="T25" s="4">
        <v>173</v>
      </c>
      <c r="U25" s="4">
        <v>92</v>
      </c>
      <c r="V25" s="4">
        <v>40</v>
      </c>
      <c r="W25" s="4">
        <v>22</v>
      </c>
      <c r="X25" s="4">
        <v>49.382716049382715</v>
      </c>
      <c r="Y25" s="4">
        <v>1.8181818181818181</v>
      </c>
    </row>
    <row r="26" spans="1:25" ht="21.6" customHeight="1">
      <c r="A26" s="3" t="s">
        <v>77</v>
      </c>
      <c r="B26" s="3">
        <v>1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41</v>
      </c>
      <c r="I26" s="3">
        <v>167</v>
      </c>
      <c r="J26" s="3">
        <v>74</v>
      </c>
      <c r="K26" s="3">
        <v>26.533758829646096</v>
      </c>
      <c r="L26" s="3">
        <v>2</v>
      </c>
      <c r="M26" s="3">
        <v>11</v>
      </c>
      <c r="N26" s="3">
        <v>49</v>
      </c>
      <c r="O26" s="3">
        <v>5</v>
      </c>
      <c r="P26" s="3">
        <v>5</v>
      </c>
      <c r="Q26" s="3" t="s">
        <v>78</v>
      </c>
      <c r="R26" s="3">
        <v>63</v>
      </c>
      <c r="S26" s="3">
        <v>37</v>
      </c>
      <c r="T26" s="3">
        <v>1465</v>
      </c>
      <c r="U26" s="3">
        <v>787</v>
      </c>
      <c r="V26" s="3">
        <v>222</v>
      </c>
      <c r="W26" s="3">
        <v>402</v>
      </c>
      <c r="X26" s="3">
        <v>32.743362831858406</v>
      </c>
      <c r="Y26" s="3">
        <v>0.55223880597014929</v>
      </c>
    </row>
    <row r="27" spans="1:25" ht="21.6" customHeight="1">
      <c r="A27" s="3" t="s">
        <v>79</v>
      </c>
      <c r="B27" s="3">
        <v>1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35</v>
      </c>
      <c r="I27" s="3">
        <v>148</v>
      </c>
      <c r="J27" s="3">
        <v>42</v>
      </c>
      <c r="K27" s="3">
        <v>19.174579985390796</v>
      </c>
      <c r="L27" s="3">
        <v>12</v>
      </c>
      <c r="M27" s="3">
        <v>18</v>
      </c>
      <c r="N27" s="3">
        <v>63</v>
      </c>
      <c r="O27" s="3">
        <v>14</v>
      </c>
      <c r="P27" s="3">
        <v>11</v>
      </c>
      <c r="Q27" s="3" t="s">
        <v>80</v>
      </c>
      <c r="R27" s="3">
        <v>88</v>
      </c>
      <c r="S27" s="3">
        <v>24</v>
      </c>
      <c r="T27" s="3">
        <v>634</v>
      </c>
      <c r="U27" s="3">
        <v>260</v>
      </c>
      <c r="V27" s="3">
        <v>274</v>
      </c>
      <c r="W27" s="3">
        <v>76</v>
      </c>
      <c r="X27" s="3">
        <v>73.262032085561501</v>
      </c>
      <c r="Y27" s="3">
        <v>3.6052631578947367</v>
      </c>
    </row>
    <row r="28" spans="1:25" ht="21.6" customHeight="1">
      <c r="A28" s="3" t="s">
        <v>81</v>
      </c>
      <c r="B28" s="3">
        <v>1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51</v>
      </c>
      <c r="I28" s="3">
        <v>156</v>
      </c>
      <c r="J28" s="3">
        <v>82</v>
      </c>
      <c r="K28" s="3">
        <v>33.694937541091385</v>
      </c>
      <c r="L28" s="3">
        <v>2</v>
      </c>
      <c r="M28" s="3">
        <v>14</v>
      </c>
      <c r="N28" s="3">
        <v>44</v>
      </c>
      <c r="O28" s="3">
        <v>3</v>
      </c>
      <c r="P28" s="3">
        <v>1</v>
      </c>
      <c r="Q28" s="3" t="s">
        <v>82</v>
      </c>
      <c r="R28" s="3">
        <v>69</v>
      </c>
      <c r="S28" s="3">
        <v>40</v>
      </c>
      <c r="T28" s="3">
        <v>1460</v>
      </c>
      <c r="U28" s="3">
        <v>592</v>
      </c>
      <c r="V28" s="3">
        <v>138</v>
      </c>
      <c r="W28" s="3">
        <v>630</v>
      </c>
      <c r="X28" s="3">
        <v>15.898617511520737</v>
      </c>
      <c r="Y28" s="3">
        <v>0.21904761904761905</v>
      </c>
    </row>
    <row r="29" spans="1:25">
      <c r="A29" s="3" t="s">
        <v>83</v>
      </c>
      <c r="B29" s="3">
        <v>1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41</v>
      </c>
      <c r="I29" s="3">
        <v>159</v>
      </c>
      <c r="J29" s="3">
        <v>60</v>
      </c>
      <c r="K29" s="3">
        <v>23.733238400379729</v>
      </c>
      <c r="L29" s="3">
        <v>7</v>
      </c>
      <c r="M29" s="3">
        <v>4</v>
      </c>
      <c r="N29" s="3">
        <v>68</v>
      </c>
      <c r="O29" s="3">
        <v>5</v>
      </c>
      <c r="P29" s="3">
        <v>2</v>
      </c>
      <c r="Q29" s="3" t="s">
        <v>84</v>
      </c>
      <c r="R29" s="3">
        <v>86</v>
      </c>
      <c r="S29" s="3">
        <v>49</v>
      </c>
      <c r="T29" s="3">
        <v>2216</v>
      </c>
      <c r="U29" s="3">
        <v>980</v>
      </c>
      <c r="V29" s="3">
        <v>716</v>
      </c>
      <c r="W29" s="3">
        <v>341</v>
      </c>
      <c r="X29" s="3">
        <v>57.928802588996767</v>
      </c>
      <c r="Y29" s="3">
        <v>2.0997067448680351</v>
      </c>
    </row>
    <row r="30" spans="1:25" s="4" customFormat="1">
      <c r="A30" s="4" t="s">
        <v>85</v>
      </c>
      <c r="B30" s="3">
        <v>0</v>
      </c>
      <c r="C30" s="4">
        <v>0</v>
      </c>
      <c r="D30" s="4">
        <v>0</v>
      </c>
      <c r="E30" s="4">
        <v>1</v>
      </c>
      <c r="F30" s="4">
        <v>0</v>
      </c>
      <c r="G30" s="3">
        <v>0</v>
      </c>
      <c r="H30" s="4">
        <v>34</v>
      </c>
      <c r="I30" s="4">
        <v>156</v>
      </c>
      <c r="J30" s="4">
        <v>80</v>
      </c>
      <c r="K30" s="4">
        <v>32.873109796186718</v>
      </c>
      <c r="L30" s="4">
        <v>11</v>
      </c>
      <c r="M30" s="4">
        <v>3</v>
      </c>
      <c r="N30" s="4">
        <v>55</v>
      </c>
      <c r="O30" s="4">
        <v>36</v>
      </c>
      <c r="P30" s="4">
        <v>9</v>
      </c>
      <c r="Q30" s="3" t="s">
        <v>86</v>
      </c>
      <c r="R30" s="4">
        <v>95</v>
      </c>
      <c r="S30" s="4">
        <v>11</v>
      </c>
      <c r="T30" s="4">
        <v>138</v>
      </c>
      <c r="U30" s="4">
        <v>103</v>
      </c>
      <c r="V30" s="4">
        <v>24</v>
      </c>
      <c r="W30" s="4">
        <v>6</v>
      </c>
      <c r="X30" s="4">
        <v>68.571428571428569</v>
      </c>
      <c r="Y30" s="4">
        <v>4</v>
      </c>
    </row>
    <row r="31" spans="1:25">
      <c r="A31" s="3" t="s">
        <v>87</v>
      </c>
      <c r="B31" s="3">
        <v>1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40</v>
      </c>
      <c r="I31" s="3">
        <v>158</v>
      </c>
      <c r="J31" s="3">
        <v>54</v>
      </c>
      <c r="K31" s="3">
        <v>21.631148854350261</v>
      </c>
      <c r="L31" s="3">
        <v>4</v>
      </c>
      <c r="M31" s="3">
        <v>14</v>
      </c>
      <c r="N31" s="3">
        <v>54</v>
      </c>
      <c r="O31" s="3">
        <v>3</v>
      </c>
      <c r="P31" s="3">
        <v>3</v>
      </c>
      <c r="Q31" s="3" t="s">
        <v>88</v>
      </c>
      <c r="R31" s="3">
        <v>89</v>
      </c>
      <c r="S31" s="3">
        <v>28</v>
      </c>
      <c r="T31" s="3">
        <v>847</v>
      </c>
      <c r="U31" s="3">
        <v>324</v>
      </c>
      <c r="V31" s="3">
        <v>207</v>
      </c>
      <c r="W31" s="3">
        <v>282</v>
      </c>
      <c r="X31" s="3">
        <v>39.579349904397702</v>
      </c>
      <c r="Y31" s="3">
        <v>0.73404255319148937</v>
      </c>
    </row>
    <row r="32" spans="1:25">
      <c r="A32" s="3" t="s">
        <v>89</v>
      </c>
      <c r="B32" s="3">
        <v>1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37</v>
      </c>
      <c r="I32" s="3">
        <v>163</v>
      </c>
      <c r="J32" s="3">
        <v>53</v>
      </c>
      <c r="K32" s="3">
        <v>19.948059768903612</v>
      </c>
      <c r="L32" s="3">
        <v>2</v>
      </c>
      <c r="M32" s="3">
        <v>13</v>
      </c>
      <c r="N32" s="3">
        <v>59</v>
      </c>
      <c r="O32" s="3">
        <v>11</v>
      </c>
      <c r="P32" s="3">
        <v>0</v>
      </c>
      <c r="Q32" s="3" t="s">
        <v>90</v>
      </c>
      <c r="R32" s="3">
        <v>77</v>
      </c>
      <c r="S32" s="3">
        <v>37</v>
      </c>
      <c r="T32" s="3">
        <v>1358</v>
      </c>
      <c r="U32" s="3">
        <v>540</v>
      </c>
      <c r="V32" s="3">
        <v>459</v>
      </c>
      <c r="W32" s="3">
        <v>316</v>
      </c>
      <c r="X32" s="3">
        <v>56.112469437652813</v>
      </c>
      <c r="Y32" s="3">
        <v>1.4525316455696202</v>
      </c>
    </row>
    <row r="33" spans="1:25" s="4" customFormat="1">
      <c r="A33" s="4" t="s">
        <v>91</v>
      </c>
      <c r="B33" s="3">
        <v>0</v>
      </c>
      <c r="C33" s="4">
        <v>0</v>
      </c>
      <c r="D33" s="4">
        <v>0</v>
      </c>
      <c r="E33" s="4">
        <v>1</v>
      </c>
      <c r="F33" s="4">
        <v>1</v>
      </c>
      <c r="G33" s="3">
        <v>0</v>
      </c>
      <c r="H33" s="4">
        <v>35</v>
      </c>
      <c r="I33" s="4">
        <v>152</v>
      </c>
      <c r="J33" s="4">
        <v>90</v>
      </c>
      <c r="K33" s="4">
        <v>38.954293628808863</v>
      </c>
      <c r="L33" s="4">
        <v>20</v>
      </c>
      <c r="M33" s="4">
        <v>24</v>
      </c>
      <c r="N33" s="4">
        <v>84</v>
      </c>
      <c r="O33" s="4">
        <v>46</v>
      </c>
      <c r="P33" s="4">
        <v>33</v>
      </c>
      <c r="Q33" s="3" t="s">
        <v>92</v>
      </c>
      <c r="R33" s="4">
        <v>83</v>
      </c>
      <c r="S33" s="4">
        <v>18</v>
      </c>
      <c r="T33" s="4">
        <v>329</v>
      </c>
      <c r="U33" s="4">
        <v>238</v>
      </c>
      <c r="V33" s="4">
        <v>68</v>
      </c>
      <c r="W33" s="4">
        <v>16</v>
      </c>
      <c r="X33" s="4">
        <v>74.72527472527473</v>
      </c>
      <c r="Y33" s="4">
        <v>4.25</v>
      </c>
    </row>
    <row r="34" spans="1:25">
      <c r="A34" s="3" t="s">
        <v>93</v>
      </c>
      <c r="B34" s="3">
        <v>1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37</v>
      </c>
      <c r="I34" s="3">
        <v>156</v>
      </c>
      <c r="J34" s="3">
        <v>54</v>
      </c>
      <c r="K34" s="3">
        <v>22.189349112426033</v>
      </c>
      <c r="L34" s="3">
        <v>6</v>
      </c>
      <c r="M34" s="3">
        <v>17</v>
      </c>
      <c r="N34" s="3">
        <v>58</v>
      </c>
      <c r="O34" s="3">
        <v>18</v>
      </c>
      <c r="P34" s="3">
        <v>7</v>
      </c>
      <c r="Q34" s="3" t="s">
        <v>94</v>
      </c>
      <c r="R34" s="3">
        <v>85</v>
      </c>
      <c r="S34" s="3">
        <v>28</v>
      </c>
      <c r="T34" s="3">
        <v>838</v>
      </c>
      <c r="U34" s="3">
        <v>384</v>
      </c>
      <c r="V34" s="3">
        <v>274</v>
      </c>
      <c r="W34" s="3">
        <v>155</v>
      </c>
      <c r="X34" s="3">
        <v>60.352422907488986</v>
      </c>
      <c r="Y34" s="3">
        <v>1.767741935483871</v>
      </c>
    </row>
    <row r="35" spans="1:25">
      <c r="A35" s="3" t="s">
        <v>95</v>
      </c>
      <c r="B35" s="3">
        <v>1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40</v>
      </c>
      <c r="I35" s="3">
        <v>152</v>
      </c>
      <c r="J35" s="3">
        <v>52</v>
      </c>
      <c r="K35" s="3">
        <v>22.506925207756233</v>
      </c>
      <c r="L35" s="3">
        <v>8</v>
      </c>
      <c r="M35" s="3">
        <v>14</v>
      </c>
      <c r="N35" s="3">
        <v>63</v>
      </c>
      <c r="O35" s="3">
        <v>12</v>
      </c>
      <c r="P35" s="3">
        <v>6</v>
      </c>
      <c r="Q35" s="3" t="s">
        <v>96</v>
      </c>
      <c r="R35" s="3">
        <v>76</v>
      </c>
      <c r="S35" s="3">
        <v>43</v>
      </c>
      <c r="T35" s="3">
        <v>1972</v>
      </c>
      <c r="U35" s="3">
        <v>1015</v>
      </c>
      <c r="V35" s="3">
        <v>546</v>
      </c>
      <c r="W35" s="3">
        <v>352</v>
      </c>
      <c r="X35" s="3">
        <v>57.053291536050153</v>
      </c>
      <c r="Y35" s="3">
        <v>1.5511363636363635</v>
      </c>
    </row>
    <row r="36" spans="1:25" s="4" customFormat="1">
      <c r="A36" s="4" t="s">
        <v>97</v>
      </c>
      <c r="B36" s="3">
        <v>1</v>
      </c>
      <c r="C36" s="4">
        <v>0</v>
      </c>
      <c r="D36" s="4">
        <v>0</v>
      </c>
      <c r="E36" s="4">
        <v>0</v>
      </c>
      <c r="F36" s="4">
        <v>0</v>
      </c>
      <c r="G36" s="3">
        <v>0</v>
      </c>
      <c r="H36" s="4">
        <v>26</v>
      </c>
      <c r="I36" s="4">
        <v>160</v>
      </c>
      <c r="J36" s="4">
        <v>50</v>
      </c>
      <c r="K36" s="4">
        <v>19.531249999999996</v>
      </c>
      <c r="L36" s="4">
        <v>6</v>
      </c>
      <c r="M36" s="4">
        <v>11</v>
      </c>
      <c r="N36" s="4">
        <v>64</v>
      </c>
      <c r="O36" s="4">
        <v>18</v>
      </c>
      <c r="P36" s="4">
        <v>7</v>
      </c>
      <c r="Q36" s="3" t="s">
        <v>98</v>
      </c>
      <c r="R36" s="4">
        <v>87</v>
      </c>
      <c r="S36" s="4">
        <v>42</v>
      </c>
      <c r="T36" s="4">
        <v>1815</v>
      </c>
      <c r="U36" s="4">
        <v>611</v>
      </c>
      <c r="V36" s="4">
        <v>876</v>
      </c>
      <c r="W36" s="4">
        <v>259</v>
      </c>
      <c r="X36" s="4">
        <v>72.757475083056477</v>
      </c>
      <c r="Y36" s="4">
        <v>3.3822393822393821</v>
      </c>
    </row>
    <row r="37" spans="1:25">
      <c r="A37" s="3" t="s">
        <v>99</v>
      </c>
      <c r="B37" s="3">
        <v>1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31</v>
      </c>
      <c r="I37" s="3">
        <v>160</v>
      </c>
      <c r="J37" s="3">
        <v>68</v>
      </c>
      <c r="K37" s="3">
        <v>26.562499999999996</v>
      </c>
      <c r="L37" s="3">
        <v>6</v>
      </c>
      <c r="M37" s="3">
        <v>9</v>
      </c>
      <c r="N37" s="3">
        <v>49</v>
      </c>
      <c r="O37" s="3">
        <v>1</v>
      </c>
      <c r="P37" s="3">
        <v>6</v>
      </c>
      <c r="Q37" s="3" t="s">
        <v>100</v>
      </c>
      <c r="R37" s="3">
        <v>86</v>
      </c>
      <c r="S37" s="3">
        <v>33</v>
      </c>
      <c r="T37" s="3">
        <v>1118</v>
      </c>
      <c r="U37" s="3">
        <v>643</v>
      </c>
      <c r="V37" s="3">
        <v>384</v>
      </c>
      <c r="W37" s="3">
        <v>64</v>
      </c>
      <c r="X37" s="3">
        <v>80.84210526315789</v>
      </c>
      <c r="Y37" s="3">
        <v>6</v>
      </c>
    </row>
    <row r="38" spans="1:25">
      <c r="A38" s="3" t="s">
        <v>101</v>
      </c>
      <c r="B38" s="3">
        <v>1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47</v>
      </c>
      <c r="I38" s="3">
        <v>165</v>
      </c>
      <c r="J38" s="3">
        <v>79</v>
      </c>
      <c r="K38" s="3">
        <v>29.017447199265384</v>
      </c>
      <c r="L38" s="3">
        <v>4</v>
      </c>
      <c r="M38" s="3">
        <v>8</v>
      </c>
      <c r="N38" s="3">
        <v>54</v>
      </c>
      <c r="O38" s="3">
        <v>7</v>
      </c>
      <c r="P38" s="3">
        <v>5</v>
      </c>
      <c r="Q38" s="3" t="s">
        <v>102</v>
      </c>
      <c r="R38" s="3">
        <v>90</v>
      </c>
      <c r="S38" s="3">
        <v>21</v>
      </c>
      <c r="T38" s="3">
        <v>522</v>
      </c>
      <c r="U38" s="3">
        <v>222</v>
      </c>
      <c r="V38" s="3">
        <v>154</v>
      </c>
      <c r="W38" s="3">
        <v>111</v>
      </c>
      <c r="X38" s="3">
        <v>51.333333333333336</v>
      </c>
      <c r="Y38" s="3">
        <v>1.3873873873873874</v>
      </c>
    </row>
    <row r="39" spans="1:25">
      <c r="A39" s="3" t="s">
        <v>103</v>
      </c>
      <c r="B39" s="3">
        <v>1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34</v>
      </c>
      <c r="I39" s="3">
        <v>158</v>
      </c>
      <c r="J39" s="3">
        <v>49</v>
      </c>
      <c r="K39" s="3">
        <v>19.62826470116968</v>
      </c>
      <c r="L39" s="3">
        <v>6</v>
      </c>
      <c r="M39" s="3">
        <v>53</v>
      </c>
      <c r="N39" s="3">
        <v>52</v>
      </c>
      <c r="O39" s="3">
        <v>6</v>
      </c>
      <c r="P39" s="3">
        <v>3</v>
      </c>
      <c r="Q39" s="3" t="s">
        <v>104</v>
      </c>
      <c r="R39" s="3">
        <v>96</v>
      </c>
      <c r="S39" s="3">
        <v>22</v>
      </c>
      <c r="T39" s="3">
        <v>654</v>
      </c>
      <c r="U39" s="3">
        <v>458</v>
      </c>
      <c r="V39" s="3">
        <v>144</v>
      </c>
      <c r="W39" s="3">
        <v>37</v>
      </c>
      <c r="X39" s="3">
        <v>73.469387755102048</v>
      </c>
      <c r="Y39" s="3">
        <v>3.8918918918918921</v>
      </c>
    </row>
    <row r="40" spans="1:25">
      <c r="A40" s="3" t="s">
        <v>105</v>
      </c>
      <c r="B40" s="3">
        <v>1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45</v>
      </c>
      <c r="I40" s="3">
        <v>150</v>
      </c>
      <c r="J40" s="3">
        <v>59</v>
      </c>
      <c r="K40" s="3">
        <v>26.222222222222221</v>
      </c>
      <c r="L40" s="3">
        <v>6</v>
      </c>
      <c r="M40" s="3">
        <v>9</v>
      </c>
      <c r="N40" s="3">
        <v>37</v>
      </c>
      <c r="O40" s="3">
        <v>2</v>
      </c>
      <c r="P40" s="3">
        <v>0</v>
      </c>
      <c r="Q40" s="3" t="s">
        <v>106</v>
      </c>
      <c r="R40" s="3">
        <v>111</v>
      </c>
      <c r="S40" s="3">
        <v>193</v>
      </c>
      <c r="T40" s="3">
        <v>36869</v>
      </c>
      <c r="U40" s="3">
        <v>1170</v>
      </c>
      <c r="V40" s="3">
        <v>4660</v>
      </c>
      <c r="W40" s="3">
        <v>14029</v>
      </c>
      <c r="X40" s="3">
        <v>13.053586935208269</v>
      </c>
      <c r="Y40" s="3">
        <v>0.33216907833772896</v>
      </c>
    </row>
    <row r="41" spans="1:25">
      <c r="A41" s="3" t="s">
        <v>107</v>
      </c>
      <c r="B41" s="3">
        <v>1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30</v>
      </c>
      <c r="I41" s="3">
        <v>164</v>
      </c>
      <c r="J41" s="3">
        <v>66</v>
      </c>
      <c r="K41" s="3">
        <v>24.538964901844146</v>
      </c>
      <c r="L41" s="3">
        <v>6</v>
      </c>
      <c r="M41" s="3">
        <v>29</v>
      </c>
      <c r="N41" s="3">
        <v>60</v>
      </c>
      <c r="O41" s="3">
        <v>9</v>
      </c>
      <c r="P41" s="3">
        <v>8</v>
      </c>
      <c r="Q41" s="3" t="s">
        <v>108</v>
      </c>
      <c r="R41" s="3">
        <v>86</v>
      </c>
      <c r="S41" s="3">
        <v>39</v>
      </c>
      <c r="T41" s="3">
        <v>1690</v>
      </c>
      <c r="U41" s="3">
        <v>479</v>
      </c>
      <c r="V41" s="3">
        <v>491</v>
      </c>
      <c r="W41" s="3">
        <v>654</v>
      </c>
      <c r="X41" s="3">
        <v>40.545004128819158</v>
      </c>
      <c r="Y41" s="3">
        <v>0.75076452599388377</v>
      </c>
    </row>
    <row r="42" spans="1:25">
      <c r="A42" s="3" t="s">
        <v>109</v>
      </c>
      <c r="B42" s="3">
        <v>1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30</v>
      </c>
      <c r="I42" s="3">
        <v>165</v>
      </c>
      <c r="J42" s="3">
        <v>53</v>
      </c>
      <c r="K42" s="3">
        <v>19.467401285583104</v>
      </c>
      <c r="L42" s="3">
        <v>0</v>
      </c>
      <c r="M42" s="3">
        <v>15</v>
      </c>
      <c r="N42" s="3">
        <v>50</v>
      </c>
      <c r="O42" s="3">
        <v>2</v>
      </c>
      <c r="P42" s="3">
        <v>0</v>
      </c>
      <c r="Q42" s="3" t="s">
        <v>110</v>
      </c>
      <c r="R42" s="3">
        <v>64</v>
      </c>
      <c r="S42" s="3">
        <v>40</v>
      </c>
      <c r="T42" s="3">
        <v>1603</v>
      </c>
      <c r="U42" s="3">
        <v>1290</v>
      </c>
      <c r="V42" s="3">
        <v>169</v>
      </c>
      <c r="W42" s="3">
        <v>122</v>
      </c>
      <c r="X42" s="3">
        <v>53.993610223642172</v>
      </c>
      <c r="Y42" s="3">
        <v>1.3852459016393444</v>
      </c>
    </row>
    <row r="43" spans="1:25">
      <c r="A43" s="3" t="s">
        <v>111</v>
      </c>
      <c r="B43" s="3">
        <v>1</v>
      </c>
      <c r="C43" s="3">
        <v>0</v>
      </c>
      <c r="D43" s="3">
        <v>0</v>
      </c>
      <c r="E43" s="3">
        <v>0</v>
      </c>
      <c r="F43" s="3">
        <v>0</v>
      </c>
      <c r="G43" s="3">
        <v>1</v>
      </c>
      <c r="H43" s="3">
        <v>53</v>
      </c>
      <c r="I43" s="3">
        <v>166</v>
      </c>
      <c r="J43" s="3">
        <v>69</v>
      </c>
      <c r="K43" s="3">
        <v>25.039918710988534</v>
      </c>
      <c r="L43" s="3">
        <v>0</v>
      </c>
      <c r="M43" s="3">
        <v>11</v>
      </c>
      <c r="N43" s="5"/>
      <c r="O43" s="3">
        <v>15</v>
      </c>
      <c r="P43" s="3">
        <v>2</v>
      </c>
      <c r="Q43" s="3" t="s">
        <v>112</v>
      </c>
      <c r="R43" s="3">
        <v>67</v>
      </c>
      <c r="S43" s="3">
        <v>24</v>
      </c>
      <c r="T43" s="3">
        <v>620</v>
      </c>
      <c r="U43" s="3">
        <v>315</v>
      </c>
      <c r="V43" s="3">
        <v>234</v>
      </c>
      <c r="W43" s="3">
        <v>63</v>
      </c>
      <c r="X43" s="3">
        <v>76.721311475409834</v>
      </c>
      <c r="Y43" s="3">
        <v>3.7142857142857144</v>
      </c>
    </row>
    <row r="44" spans="1:25">
      <c r="A44" s="3" t="s">
        <v>113</v>
      </c>
      <c r="B44" s="3">
        <v>1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41</v>
      </c>
      <c r="I44" s="3">
        <v>162</v>
      </c>
      <c r="J44" s="3">
        <v>60</v>
      </c>
      <c r="K44" s="3">
        <v>22.862368541380881</v>
      </c>
      <c r="L44" s="3">
        <v>3</v>
      </c>
      <c r="M44" s="3">
        <v>17</v>
      </c>
      <c r="N44" s="3">
        <v>53</v>
      </c>
      <c r="O44" s="3">
        <v>0</v>
      </c>
      <c r="P44" s="3">
        <v>1</v>
      </c>
      <c r="Q44" s="3" t="s">
        <v>114</v>
      </c>
      <c r="R44" s="3">
        <v>78</v>
      </c>
      <c r="S44" s="3">
        <v>49</v>
      </c>
      <c r="T44" s="3">
        <v>2406</v>
      </c>
      <c r="U44" s="3">
        <v>1733</v>
      </c>
      <c r="V44" s="3">
        <v>429</v>
      </c>
      <c r="W44" s="3">
        <v>180</v>
      </c>
      <c r="X44" s="3">
        <v>63.7444279346211</v>
      </c>
      <c r="Y44" s="3">
        <v>2.3833333333333333</v>
      </c>
    </row>
    <row r="45" spans="1:25">
      <c r="A45" s="3" t="s">
        <v>115</v>
      </c>
      <c r="B45" s="3">
        <v>1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25</v>
      </c>
      <c r="I45" s="3">
        <v>156</v>
      </c>
      <c r="J45" s="3">
        <v>75</v>
      </c>
      <c r="K45" s="3">
        <v>30.818540433925047</v>
      </c>
      <c r="L45" s="3">
        <v>1</v>
      </c>
      <c r="M45" s="3">
        <v>13</v>
      </c>
      <c r="N45" s="3">
        <v>51</v>
      </c>
      <c r="O45" s="3">
        <v>9</v>
      </c>
      <c r="P45" s="3">
        <v>0</v>
      </c>
      <c r="Q45" s="3" t="s">
        <v>116</v>
      </c>
      <c r="R45" s="3">
        <v>82</v>
      </c>
      <c r="S45" s="3">
        <v>30</v>
      </c>
      <c r="T45" s="3">
        <v>948</v>
      </c>
      <c r="U45" s="3">
        <v>696</v>
      </c>
      <c r="V45" s="3">
        <v>119</v>
      </c>
      <c r="W45" s="3">
        <v>103</v>
      </c>
      <c r="X45" s="3">
        <v>47.222222222222221</v>
      </c>
      <c r="Y45" s="3">
        <v>1.1553398058252426</v>
      </c>
    </row>
    <row r="46" spans="1:25" s="4" customFormat="1">
      <c r="A46" s="4" t="s">
        <v>117</v>
      </c>
      <c r="B46" s="3">
        <v>1</v>
      </c>
      <c r="C46" s="4">
        <v>0</v>
      </c>
      <c r="D46" s="4">
        <v>0</v>
      </c>
      <c r="E46" s="4">
        <v>0</v>
      </c>
      <c r="F46" s="4">
        <v>0</v>
      </c>
      <c r="G46" s="4">
        <v>1</v>
      </c>
      <c r="H46" s="4">
        <v>53</v>
      </c>
      <c r="I46" s="4">
        <v>165</v>
      </c>
      <c r="J46" s="4">
        <v>67</v>
      </c>
      <c r="K46" s="4">
        <v>24.609733700642796</v>
      </c>
      <c r="L46" s="4">
        <v>11</v>
      </c>
      <c r="M46" s="4">
        <v>34</v>
      </c>
      <c r="N46" s="4">
        <v>65</v>
      </c>
      <c r="O46" s="4">
        <v>29</v>
      </c>
      <c r="P46" s="4">
        <v>25</v>
      </c>
      <c r="Q46" s="3" t="s">
        <v>118</v>
      </c>
      <c r="R46" s="4">
        <v>65</v>
      </c>
      <c r="S46" s="4">
        <v>40</v>
      </c>
      <c r="T46" s="4">
        <v>1581</v>
      </c>
      <c r="U46" s="4">
        <v>886</v>
      </c>
      <c r="V46" s="4">
        <v>353</v>
      </c>
      <c r="W46" s="4">
        <v>280</v>
      </c>
      <c r="X46" s="4">
        <v>50.791366906474821</v>
      </c>
      <c r="Y46" s="4">
        <v>1.2607142857142857</v>
      </c>
    </row>
    <row r="47" spans="1:25">
      <c r="A47" s="3" t="s">
        <v>119</v>
      </c>
      <c r="B47" s="3">
        <v>1</v>
      </c>
      <c r="C47" s="3">
        <v>0</v>
      </c>
      <c r="D47" s="3">
        <v>0</v>
      </c>
      <c r="E47" s="3">
        <v>0</v>
      </c>
      <c r="F47" s="3">
        <v>0</v>
      </c>
      <c r="G47" s="3">
        <v>1</v>
      </c>
      <c r="H47" s="3">
        <v>51</v>
      </c>
      <c r="I47" s="3">
        <v>188</v>
      </c>
      <c r="J47" s="3">
        <v>100</v>
      </c>
      <c r="K47" s="3">
        <v>28.293345405160707</v>
      </c>
      <c r="L47" s="3">
        <v>0</v>
      </c>
      <c r="M47" s="3">
        <v>2</v>
      </c>
      <c r="N47" s="3">
        <v>56</v>
      </c>
      <c r="O47" s="3">
        <v>4</v>
      </c>
      <c r="P47" s="3">
        <v>1</v>
      </c>
      <c r="Q47" s="3" t="s">
        <v>120</v>
      </c>
      <c r="R47" s="3">
        <v>76</v>
      </c>
      <c r="S47" s="3">
        <v>20</v>
      </c>
      <c r="T47" s="3">
        <v>420</v>
      </c>
      <c r="U47" s="3">
        <v>309</v>
      </c>
      <c r="V47" s="3">
        <v>90</v>
      </c>
      <c r="W47" s="3">
        <v>14</v>
      </c>
      <c r="X47" s="3">
        <v>81.081081081081081</v>
      </c>
      <c r="Y47" s="3">
        <v>6.4285714285714288</v>
      </c>
    </row>
    <row r="48" spans="1:25" s="4" customFormat="1">
      <c r="A48" s="4" t="s">
        <v>121</v>
      </c>
      <c r="B48" s="3">
        <v>0</v>
      </c>
      <c r="C48" s="4">
        <v>1</v>
      </c>
      <c r="D48" s="4">
        <v>0</v>
      </c>
      <c r="E48" s="4">
        <v>0</v>
      </c>
      <c r="F48" s="4">
        <v>1</v>
      </c>
      <c r="G48" s="3">
        <v>0</v>
      </c>
      <c r="H48" s="4">
        <v>62</v>
      </c>
      <c r="I48" s="4">
        <v>154</v>
      </c>
      <c r="J48" s="4">
        <v>54</v>
      </c>
      <c r="K48" s="4">
        <v>22.769438353853939</v>
      </c>
      <c r="L48" s="4">
        <v>5</v>
      </c>
      <c r="M48" s="4">
        <v>14</v>
      </c>
      <c r="N48" s="4">
        <v>77</v>
      </c>
      <c r="O48" s="4">
        <v>5</v>
      </c>
      <c r="P48" s="4">
        <v>3</v>
      </c>
      <c r="Q48" s="3" t="s">
        <v>122</v>
      </c>
      <c r="R48" s="4">
        <v>112</v>
      </c>
      <c r="S48" s="4">
        <v>9</v>
      </c>
      <c r="T48" s="4">
        <v>98</v>
      </c>
      <c r="U48" s="4">
        <v>51</v>
      </c>
      <c r="V48" s="4">
        <v>16</v>
      </c>
      <c r="W48" s="4">
        <v>14</v>
      </c>
      <c r="X48" s="4">
        <v>34.042553191489361</v>
      </c>
      <c r="Y48" s="4">
        <v>1.1428571428571428</v>
      </c>
    </row>
    <row r="49" spans="1:25">
      <c r="A49" s="3" t="s">
        <v>123</v>
      </c>
      <c r="B49" s="3">
        <v>1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33</v>
      </c>
      <c r="I49" s="3">
        <v>150</v>
      </c>
      <c r="J49" s="3">
        <v>45</v>
      </c>
      <c r="K49" s="3">
        <v>20</v>
      </c>
      <c r="L49" s="3">
        <v>4</v>
      </c>
      <c r="M49" s="3">
        <v>5</v>
      </c>
      <c r="N49" s="3">
        <v>55</v>
      </c>
      <c r="O49" s="3">
        <v>14</v>
      </c>
      <c r="P49" s="3">
        <v>1</v>
      </c>
      <c r="Q49" s="3" t="s">
        <v>124</v>
      </c>
      <c r="R49" s="3">
        <v>75</v>
      </c>
      <c r="S49" s="3">
        <v>43</v>
      </c>
      <c r="T49" s="3">
        <v>1762</v>
      </c>
      <c r="U49" s="3">
        <v>732</v>
      </c>
      <c r="V49" s="3">
        <v>419</v>
      </c>
      <c r="W49" s="3">
        <v>504</v>
      </c>
      <c r="X49" s="3">
        <v>40.679611650485434</v>
      </c>
      <c r="Y49" s="3">
        <v>0.83134920634920639</v>
      </c>
    </row>
    <row r="50" spans="1:25">
      <c r="A50" s="3" t="s">
        <v>125</v>
      </c>
      <c r="B50" s="3">
        <v>1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48</v>
      </c>
      <c r="I50" s="3">
        <v>150</v>
      </c>
      <c r="J50" s="3">
        <v>60</v>
      </c>
      <c r="K50" s="3">
        <v>26.666666666666668</v>
      </c>
      <c r="L50" s="3">
        <v>1</v>
      </c>
      <c r="M50" s="3">
        <v>7</v>
      </c>
      <c r="N50" s="3">
        <v>29</v>
      </c>
      <c r="O50" s="3">
        <v>0</v>
      </c>
      <c r="P50" s="3">
        <v>0</v>
      </c>
      <c r="Q50" s="3" t="s">
        <v>126</v>
      </c>
      <c r="R50" s="3">
        <v>65</v>
      </c>
      <c r="S50" s="3">
        <v>26</v>
      </c>
      <c r="T50" s="3">
        <v>799</v>
      </c>
      <c r="U50" s="3">
        <v>494</v>
      </c>
      <c r="V50" s="3">
        <v>151</v>
      </c>
      <c r="W50" s="3">
        <v>127</v>
      </c>
      <c r="X50" s="3">
        <v>49.508196721311478</v>
      </c>
      <c r="Y50" s="3">
        <v>1.188976377952756</v>
      </c>
    </row>
    <row r="51" spans="1:25">
      <c r="A51" s="3" t="s">
        <v>127</v>
      </c>
      <c r="B51" s="3">
        <v>1</v>
      </c>
      <c r="C51" s="3">
        <v>0</v>
      </c>
      <c r="D51" s="3">
        <v>0</v>
      </c>
      <c r="E51" s="3">
        <v>0</v>
      </c>
      <c r="F51" s="3">
        <v>0</v>
      </c>
      <c r="G51" s="3">
        <v>1</v>
      </c>
      <c r="H51" s="3">
        <v>29</v>
      </c>
      <c r="I51" s="3">
        <v>174</v>
      </c>
      <c r="J51" s="3">
        <v>71</v>
      </c>
      <c r="K51" s="3">
        <v>23.450918219051392</v>
      </c>
      <c r="L51" s="3">
        <v>0</v>
      </c>
      <c r="M51" s="3">
        <v>28</v>
      </c>
      <c r="N51" s="3">
        <v>48</v>
      </c>
      <c r="O51" s="3">
        <v>1</v>
      </c>
      <c r="P51" s="3">
        <v>5</v>
      </c>
      <c r="Q51" s="3" t="s">
        <v>128</v>
      </c>
      <c r="R51" s="3">
        <v>65</v>
      </c>
      <c r="S51" s="3">
        <v>53</v>
      </c>
      <c r="T51" s="3">
        <v>2744</v>
      </c>
      <c r="U51" s="3">
        <v>683</v>
      </c>
      <c r="V51" s="3">
        <v>953</v>
      </c>
      <c r="W51" s="3">
        <v>733</v>
      </c>
      <c r="X51" s="3">
        <v>46.239689471130518</v>
      </c>
      <c r="Y51" s="3">
        <v>1.3001364256480219</v>
      </c>
    </row>
    <row r="52" spans="1:25">
      <c r="A52" s="3" t="s">
        <v>129</v>
      </c>
      <c r="B52" s="3">
        <v>1</v>
      </c>
      <c r="C52" s="3">
        <v>0</v>
      </c>
      <c r="D52" s="3">
        <v>0</v>
      </c>
      <c r="E52" s="3">
        <v>0</v>
      </c>
      <c r="F52" s="3">
        <v>0</v>
      </c>
      <c r="G52" s="3">
        <v>1</v>
      </c>
      <c r="H52" s="3">
        <v>20</v>
      </c>
      <c r="I52" s="3">
        <v>172</v>
      </c>
      <c r="J52" s="3">
        <v>94</v>
      </c>
      <c r="K52" s="3">
        <v>31.773931855056791</v>
      </c>
      <c r="L52" s="3">
        <v>0</v>
      </c>
      <c r="M52" s="3">
        <v>10</v>
      </c>
      <c r="N52" s="3">
        <v>51</v>
      </c>
      <c r="O52" s="3">
        <v>1</v>
      </c>
      <c r="P52" s="3">
        <v>0</v>
      </c>
      <c r="Q52" s="3" t="s">
        <v>130</v>
      </c>
      <c r="R52" s="3">
        <v>83</v>
      </c>
      <c r="S52" s="3">
        <v>31</v>
      </c>
      <c r="T52" s="3">
        <v>985</v>
      </c>
      <c r="U52" s="3">
        <v>518</v>
      </c>
      <c r="V52" s="3">
        <v>258</v>
      </c>
      <c r="W52" s="3">
        <v>150</v>
      </c>
      <c r="X52" s="3">
        <v>55.24625267665953</v>
      </c>
      <c r="Y52" s="3">
        <v>1.72</v>
      </c>
    </row>
    <row r="53" spans="1:25">
      <c r="A53" s="3" t="s">
        <v>131</v>
      </c>
      <c r="B53" s="3">
        <v>1</v>
      </c>
      <c r="C53" s="3">
        <v>0</v>
      </c>
      <c r="D53" s="3">
        <v>0</v>
      </c>
      <c r="E53" s="3">
        <v>0</v>
      </c>
      <c r="F53" s="3">
        <v>0</v>
      </c>
      <c r="G53" s="3">
        <v>1</v>
      </c>
      <c r="H53" s="3">
        <v>46</v>
      </c>
      <c r="I53" s="3">
        <v>170</v>
      </c>
      <c r="J53" s="3">
        <v>84</v>
      </c>
      <c r="K53" s="3">
        <v>29.065743944636683</v>
      </c>
      <c r="L53" s="3">
        <v>0</v>
      </c>
      <c r="M53" s="3">
        <v>0</v>
      </c>
      <c r="N53" s="3">
        <v>27</v>
      </c>
      <c r="O53" s="3">
        <v>0</v>
      </c>
      <c r="P53" s="3">
        <v>0</v>
      </c>
      <c r="Q53" s="3" t="s">
        <v>132</v>
      </c>
      <c r="R53" s="3">
        <v>92</v>
      </c>
      <c r="S53" s="3">
        <v>14</v>
      </c>
      <c r="T53" s="3">
        <v>211</v>
      </c>
      <c r="U53" s="3">
        <v>140</v>
      </c>
      <c r="V53" s="3">
        <v>33</v>
      </c>
      <c r="W53" s="3">
        <v>26</v>
      </c>
      <c r="X53" s="3">
        <v>46.478873239436616</v>
      </c>
      <c r="Y53" s="3">
        <v>1.2692307692307692</v>
      </c>
    </row>
    <row r="54" spans="1:25">
      <c r="A54" s="3" t="s">
        <v>133</v>
      </c>
      <c r="B54" s="3">
        <v>1</v>
      </c>
      <c r="C54" s="3">
        <v>0</v>
      </c>
      <c r="D54" s="3">
        <v>0</v>
      </c>
      <c r="E54" s="3">
        <v>0</v>
      </c>
      <c r="F54" s="3">
        <v>0</v>
      </c>
      <c r="G54" s="3">
        <v>1</v>
      </c>
      <c r="H54" s="3">
        <v>32</v>
      </c>
      <c r="I54" s="3">
        <v>169</v>
      </c>
      <c r="J54" s="3">
        <v>67</v>
      </c>
      <c r="K54" s="3">
        <v>23.458562375266975</v>
      </c>
      <c r="L54" s="3">
        <v>0</v>
      </c>
      <c r="M54" s="3">
        <v>5</v>
      </c>
      <c r="N54" s="3">
        <v>32</v>
      </c>
      <c r="O54" s="3">
        <v>0</v>
      </c>
      <c r="P54" s="3">
        <v>0</v>
      </c>
      <c r="Q54" s="3" t="s">
        <v>134</v>
      </c>
      <c r="R54" s="3">
        <v>71</v>
      </c>
      <c r="S54" s="3">
        <v>58</v>
      </c>
      <c r="T54" s="3">
        <v>3406</v>
      </c>
      <c r="U54" s="3">
        <v>909</v>
      </c>
      <c r="V54" s="3">
        <v>2201</v>
      </c>
      <c r="W54" s="3">
        <v>246</v>
      </c>
      <c r="X54" s="3">
        <v>88.145774929915902</v>
      </c>
      <c r="Y54" s="3">
        <v>8.9471544715447155</v>
      </c>
    </row>
    <row r="55" spans="1:25">
      <c r="A55" s="3" t="s">
        <v>135</v>
      </c>
      <c r="B55" s="3">
        <v>1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46</v>
      </c>
      <c r="I55" s="3">
        <v>158</v>
      </c>
      <c r="J55" s="3">
        <v>55</v>
      </c>
      <c r="K55" s="3">
        <v>22.031725684986377</v>
      </c>
      <c r="L55" s="3">
        <v>0</v>
      </c>
      <c r="M55" s="3">
        <v>2</v>
      </c>
      <c r="N55" s="3">
        <v>38</v>
      </c>
      <c r="O55" s="3">
        <v>2</v>
      </c>
      <c r="P55" s="3">
        <v>0</v>
      </c>
      <c r="Q55" s="3" t="s">
        <v>136</v>
      </c>
      <c r="R55" s="3">
        <v>78</v>
      </c>
      <c r="S55" s="3">
        <v>35</v>
      </c>
      <c r="T55" s="3">
        <v>1367</v>
      </c>
      <c r="U55" s="3">
        <v>570</v>
      </c>
      <c r="V55" s="3">
        <v>475</v>
      </c>
      <c r="W55" s="3">
        <v>280</v>
      </c>
      <c r="X55" s="3">
        <v>59.598494353826851</v>
      </c>
      <c r="Y55" s="3">
        <v>1.6964285714285714</v>
      </c>
    </row>
    <row r="56" spans="1:25">
      <c r="A56" s="3" t="s">
        <v>137</v>
      </c>
      <c r="B56" s="3">
        <v>1</v>
      </c>
      <c r="C56" s="3">
        <v>0</v>
      </c>
      <c r="D56" s="3">
        <v>0</v>
      </c>
      <c r="E56" s="3">
        <v>0</v>
      </c>
      <c r="F56" s="3">
        <v>0</v>
      </c>
      <c r="G56" s="3">
        <v>1</v>
      </c>
      <c r="H56" s="3">
        <v>35</v>
      </c>
      <c r="I56" s="3">
        <v>170</v>
      </c>
      <c r="J56" s="3">
        <v>89</v>
      </c>
      <c r="K56" s="3">
        <v>30.795847750865054</v>
      </c>
      <c r="L56" s="3">
        <v>9</v>
      </c>
      <c r="M56" s="3">
        <v>24</v>
      </c>
      <c r="N56" s="3">
        <v>51</v>
      </c>
      <c r="O56" s="3">
        <v>4</v>
      </c>
      <c r="P56" s="3">
        <v>2</v>
      </c>
      <c r="Q56" s="3" t="s">
        <v>138</v>
      </c>
      <c r="R56" s="3">
        <v>96</v>
      </c>
      <c r="S56" s="3">
        <v>23</v>
      </c>
      <c r="T56" s="3">
        <v>607</v>
      </c>
      <c r="U56" s="3">
        <v>289</v>
      </c>
      <c r="V56" s="3">
        <v>230</v>
      </c>
      <c r="W56" s="3">
        <v>65</v>
      </c>
      <c r="X56" s="3">
        <v>72.327044025157235</v>
      </c>
      <c r="Y56" s="3">
        <v>3.5384615384615383</v>
      </c>
    </row>
    <row r="57" spans="1:25">
      <c r="A57" s="3" t="s">
        <v>139</v>
      </c>
      <c r="B57" s="3">
        <v>1</v>
      </c>
      <c r="C57" s="3">
        <v>0</v>
      </c>
      <c r="D57" s="3">
        <v>0</v>
      </c>
      <c r="E57" s="3">
        <v>0</v>
      </c>
      <c r="F57" s="3">
        <v>0</v>
      </c>
      <c r="G57" s="3">
        <v>1</v>
      </c>
      <c r="H57" s="3">
        <v>37</v>
      </c>
      <c r="I57" s="3">
        <v>180</v>
      </c>
      <c r="J57" s="3">
        <v>68</v>
      </c>
      <c r="K57" s="3">
        <v>20.987654320987652</v>
      </c>
      <c r="L57" s="3">
        <v>1</v>
      </c>
      <c r="M57" s="3">
        <v>4</v>
      </c>
      <c r="N57" s="3">
        <v>44</v>
      </c>
      <c r="O57" s="3">
        <v>2</v>
      </c>
      <c r="P57" s="3">
        <v>0</v>
      </c>
      <c r="Q57" s="3" t="s">
        <v>140</v>
      </c>
      <c r="R57" s="3">
        <v>69</v>
      </c>
      <c r="S57" s="3">
        <v>54</v>
      </c>
      <c r="T57" s="3">
        <v>3176</v>
      </c>
      <c r="U57" s="3">
        <v>2453</v>
      </c>
      <c r="V57" s="3">
        <v>546</v>
      </c>
      <c r="W57" s="3">
        <v>137</v>
      </c>
      <c r="X57" s="3">
        <v>75.518672199170126</v>
      </c>
      <c r="Y57" s="3">
        <v>3.9854014598540144</v>
      </c>
    </row>
    <row r="58" spans="1:25">
      <c r="A58" s="3" t="s">
        <v>141</v>
      </c>
      <c r="B58" s="3">
        <v>1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38</v>
      </c>
      <c r="I58" s="3">
        <v>157</v>
      </c>
      <c r="J58" s="3">
        <v>45</v>
      </c>
      <c r="K58" s="3">
        <v>18.25631871475516</v>
      </c>
      <c r="L58" s="3">
        <v>0</v>
      </c>
      <c r="M58" s="3">
        <v>3</v>
      </c>
      <c r="N58" s="3">
        <v>50</v>
      </c>
      <c r="O58" s="3">
        <v>4</v>
      </c>
      <c r="P58" s="3">
        <v>0</v>
      </c>
      <c r="Q58" s="3" t="s">
        <v>142</v>
      </c>
      <c r="R58" s="3">
        <v>93</v>
      </c>
      <c r="S58" s="3">
        <v>24</v>
      </c>
      <c r="T58" s="3">
        <v>656</v>
      </c>
      <c r="U58" s="3">
        <v>498</v>
      </c>
      <c r="V58" s="3">
        <v>115</v>
      </c>
      <c r="W58" s="3">
        <v>24</v>
      </c>
      <c r="X58" s="3">
        <v>72.784810126582272</v>
      </c>
      <c r="Y58" s="3">
        <v>4.791666666666667</v>
      </c>
    </row>
    <row r="59" spans="1:25">
      <c r="A59" s="3" t="s">
        <v>143</v>
      </c>
      <c r="B59" s="3">
        <v>1</v>
      </c>
      <c r="C59" s="3">
        <v>0</v>
      </c>
      <c r="D59" s="3">
        <v>0</v>
      </c>
      <c r="E59" s="3">
        <v>0</v>
      </c>
      <c r="F59" s="3">
        <v>0</v>
      </c>
      <c r="G59" s="3">
        <v>1</v>
      </c>
      <c r="H59" s="3">
        <v>52</v>
      </c>
      <c r="I59" s="3">
        <v>173</v>
      </c>
      <c r="J59" s="3">
        <v>82</v>
      </c>
      <c r="K59" s="3">
        <v>27.398175682448461</v>
      </c>
      <c r="L59" s="3">
        <v>4</v>
      </c>
      <c r="M59" s="3">
        <v>0</v>
      </c>
      <c r="N59" s="3">
        <v>59</v>
      </c>
      <c r="O59" s="3">
        <v>10</v>
      </c>
      <c r="P59" s="3">
        <v>0</v>
      </c>
      <c r="Q59" s="3" t="s">
        <v>144</v>
      </c>
      <c r="R59" s="3">
        <v>70</v>
      </c>
      <c r="S59" s="3">
        <v>23</v>
      </c>
      <c r="T59" s="3">
        <v>517</v>
      </c>
      <c r="U59" s="3">
        <v>234</v>
      </c>
      <c r="V59" s="3">
        <v>69</v>
      </c>
      <c r="W59" s="3">
        <v>132</v>
      </c>
      <c r="X59" s="3">
        <v>24.381625441696112</v>
      </c>
      <c r="Y59" s="3">
        <v>0.52272727272727271</v>
      </c>
    </row>
    <row r="60" spans="1:25">
      <c r="A60" s="3" t="s">
        <v>145</v>
      </c>
      <c r="B60" s="3">
        <v>1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41</v>
      </c>
      <c r="I60" s="3">
        <v>152</v>
      </c>
      <c r="J60" s="3">
        <v>54</v>
      </c>
      <c r="K60" s="3">
        <v>23.372576177285318</v>
      </c>
      <c r="L60" s="3">
        <v>5</v>
      </c>
      <c r="M60" s="3">
        <v>4</v>
      </c>
      <c r="N60" s="3">
        <v>38</v>
      </c>
      <c r="O60" s="3">
        <v>5</v>
      </c>
      <c r="P60" s="3">
        <v>2</v>
      </c>
      <c r="Q60" s="3" t="s">
        <v>146</v>
      </c>
      <c r="R60" s="3">
        <v>77</v>
      </c>
      <c r="S60" s="3">
        <v>24</v>
      </c>
      <c r="T60" s="3">
        <v>583</v>
      </c>
      <c r="U60" s="3">
        <v>243</v>
      </c>
      <c r="V60" s="3">
        <v>173</v>
      </c>
      <c r="W60" s="3">
        <v>118</v>
      </c>
      <c r="X60" s="3">
        <v>50.882352941176471</v>
      </c>
      <c r="Y60" s="3">
        <v>1.4661016949152543</v>
      </c>
    </row>
    <row r="61" spans="1:25">
      <c r="A61" s="3" t="s">
        <v>147</v>
      </c>
      <c r="B61" s="3">
        <v>1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53</v>
      </c>
      <c r="I61" s="3">
        <v>156</v>
      </c>
      <c r="J61" s="3">
        <v>80</v>
      </c>
      <c r="K61" s="3">
        <v>32.873109796186718</v>
      </c>
      <c r="L61" s="3">
        <v>4</v>
      </c>
      <c r="M61" s="3">
        <v>5</v>
      </c>
      <c r="N61" s="3">
        <v>38</v>
      </c>
      <c r="O61" s="3">
        <v>2</v>
      </c>
      <c r="P61" s="3">
        <v>1</v>
      </c>
      <c r="Q61" s="3" t="s">
        <v>148</v>
      </c>
      <c r="R61" s="3">
        <v>92</v>
      </c>
      <c r="S61" s="3">
        <v>12</v>
      </c>
      <c r="T61" s="3">
        <v>179</v>
      </c>
      <c r="U61" s="3">
        <v>70</v>
      </c>
      <c r="V61" s="3">
        <v>36</v>
      </c>
      <c r="W61" s="3">
        <v>65</v>
      </c>
      <c r="X61" s="3">
        <v>33.027522935779814</v>
      </c>
      <c r="Y61" s="3">
        <v>0.55384615384615388</v>
      </c>
    </row>
    <row r="62" spans="1:25">
      <c r="A62" s="3" t="s">
        <v>149</v>
      </c>
      <c r="B62" s="3">
        <v>1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54</v>
      </c>
      <c r="I62" s="3">
        <v>152</v>
      </c>
      <c r="J62" s="3">
        <v>60</v>
      </c>
      <c r="K62" s="3">
        <v>25.969529085872576</v>
      </c>
      <c r="L62" s="3">
        <v>3</v>
      </c>
      <c r="M62" s="3">
        <v>6</v>
      </c>
      <c r="N62" s="3">
        <v>49</v>
      </c>
      <c r="O62" s="3">
        <v>11</v>
      </c>
      <c r="P62" s="3">
        <v>4</v>
      </c>
      <c r="Q62" s="3" t="s">
        <v>150</v>
      </c>
      <c r="R62" s="3">
        <v>76</v>
      </c>
      <c r="S62" s="3">
        <v>17</v>
      </c>
      <c r="T62" s="3">
        <v>295</v>
      </c>
      <c r="U62" s="3">
        <v>110</v>
      </c>
      <c r="V62" s="3">
        <v>26</v>
      </c>
      <c r="W62" s="3">
        <v>125</v>
      </c>
      <c r="X62" s="3">
        <v>14.054054054054054</v>
      </c>
      <c r="Y62" s="3">
        <v>0.20799999999999999</v>
      </c>
    </row>
    <row r="63" spans="1:25">
      <c r="A63" s="3" t="s">
        <v>151</v>
      </c>
      <c r="B63" s="3">
        <v>1</v>
      </c>
      <c r="C63" s="3">
        <v>0</v>
      </c>
      <c r="D63" s="3">
        <v>0</v>
      </c>
      <c r="E63" s="3">
        <v>0</v>
      </c>
      <c r="F63" s="3">
        <v>0</v>
      </c>
      <c r="G63" s="3">
        <v>1</v>
      </c>
      <c r="H63" s="3">
        <v>52</v>
      </c>
      <c r="I63" s="3">
        <v>171</v>
      </c>
      <c r="J63" s="3">
        <v>87</v>
      </c>
      <c r="K63" s="3">
        <v>29.75274443418488</v>
      </c>
      <c r="L63" s="3">
        <v>6</v>
      </c>
      <c r="M63" s="3">
        <v>20</v>
      </c>
      <c r="N63" s="3">
        <v>54</v>
      </c>
      <c r="O63" s="3">
        <v>0</v>
      </c>
      <c r="P63" s="3">
        <v>4</v>
      </c>
      <c r="Q63" s="3" t="s">
        <v>152</v>
      </c>
      <c r="R63" s="3">
        <v>73</v>
      </c>
      <c r="S63" s="3">
        <v>21</v>
      </c>
      <c r="T63" s="3">
        <v>456</v>
      </c>
      <c r="U63" s="3">
        <v>123</v>
      </c>
      <c r="V63" s="3">
        <v>35</v>
      </c>
      <c r="W63" s="3">
        <v>282</v>
      </c>
      <c r="X63" s="3">
        <v>10.51051051051051</v>
      </c>
      <c r="Y63" s="3">
        <v>0.12411347517730496</v>
      </c>
    </row>
    <row r="64" spans="1:25">
      <c r="A64" s="3" t="s">
        <v>153</v>
      </c>
      <c r="B64" s="3">
        <v>1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45</v>
      </c>
      <c r="I64" s="3">
        <v>158</v>
      </c>
      <c r="J64" s="3">
        <v>50</v>
      </c>
      <c r="K64" s="3">
        <v>20.028841531805796</v>
      </c>
      <c r="L64" s="3">
        <v>2</v>
      </c>
      <c r="M64" s="3">
        <v>4</v>
      </c>
      <c r="N64" s="3">
        <v>57</v>
      </c>
      <c r="O64" s="3">
        <v>5</v>
      </c>
      <c r="P64" s="3">
        <v>6</v>
      </c>
      <c r="Q64" s="3" t="s">
        <v>154</v>
      </c>
      <c r="R64" s="3">
        <v>68</v>
      </c>
      <c r="S64" s="3">
        <v>24</v>
      </c>
      <c r="T64" s="3">
        <v>614</v>
      </c>
      <c r="U64" s="3">
        <v>304</v>
      </c>
      <c r="V64" s="3">
        <v>185</v>
      </c>
      <c r="W64" s="3">
        <v>92</v>
      </c>
      <c r="X64" s="3">
        <v>59.677419354838712</v>
      </c>
      <c r="Y64" s="3">
        <v>2.0108695652173911</v>
      </c>
    </row>
    <row r="65" spans="1:25">
      <c r="A65" s="3" t="s">
        <v>155</v>
      </c>
      <c r="B65" s="3">
        <v>1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22</v>
      </c>
      <c r="I65" s="3">
        <v>163</v>
      </c>
      <c r="J65" s="3">
        <v>52</v>
      </c>
      <c r="K65" s="3">
        <v>19.571681282697881</v>
      </c>
      <c r="L65" s="3">
        <v>3</v>
      </c>
      <c r="M65" s="3">
        <v>4</v>
      </c>
      <c r="N65" s="3">
        <v>43</v>
      </c>
      <c r="O65" s="3">
        <v>4</v>
      </c>
      <c r="P65" s="3">
        <v>2</v>
      </c>
      <c r="Q65" s="3" t="s">
        <v>156</v>
      </c>
      <c r="R65" s="3">
        <v>94</v>
      </c>
      <c r="S65" s="3">
        <v>53</v>
      </c>
      <c r="T65" s="3">
        <v>2680</v>
      </c>
      <c r="U65" s="3">
        <v>476</v>
      </c>
      <c r="V65" s="3">
        <v>701</v>
      </c>
      <c r="W65" s="3">
        <v>760</v>
      </c>
      <c r="X65" s="3">
        <v>31.805807622504538</v>
      </c>
      <c r="Y65" s="3">
        <v>0.92236842105263162</v>
      </c>
    </row>
    <row r="66" spans="1:25">
      <c r="A66" s="3" t="s">
        <v>157</v>
      </c>
      <c r="B66" s="3">
        <v>0</v>
      </c>
      <c r="C66" s="3">
        <v>1</v>
      </c>
      <c r="D66" s="3">
        <v>1</v>
      </c>
      <c r="E66" s="3">
        <v>0</v>
      </c>
      <c r="F66" s="3">
        <v>0</v>
      </c>
      <c r="G66" s="3">
        <v>0</v>
      </c>
      <c r="H66" s="3">
        <v>48</v>
      </c>
      <c r="I66" s="3">
        <v>157</v>
      </c>
      <c r="J66" s="3">
        <v>75</v>
      </c>
      <c r="K66" s="3">
        <v>30.427197857925268</v>
      </c>
      <c r="L66" s="3">
        <v>26</v>
      </c>
      <c r="M66" s="3">
        <v>33</v>
      </c>
      <c r="N66" s="3">
        <v>72</v>
      </c>
      <c r="O66" s="3">
        <v>19</v>
      </c>
      <c r="P66" s="3">
        <v>32</v>
      </c>
      <c r="Q66" s="3" t="s">
        <v>158</v>
      </c>
      <c r="R66" s="3">
        <v>97</v>
      </c>
      <c r="S66" s="3">
        <v>11</v>
      </c>
      <c r="T66" s="3">
        <v>200</v>
      </c>
      <c r="U66" s="3">
        <v>158</v>
      </c>
      <c r="V66" s="3">
        <v>30</v>
      </c>
      <c r="W66" s="3">
        <v>6</v>
      </c>
      <c r="X66" s="3">
        <v>71.428571428571431</v>
      </c>
      <c r="Y66" s="3">
        <v>5</v>
      </c>
    </row>
    <row r="67" spans="1:25">
      <c r="A67" s="3" t="s">
        <v>159</v>
      </c>
      <c r="B67" s="3">
        <v>0</v>
      </c>
      <c r="C67" s="6">
        <v>1</v>
      </c>
      <c r="D67" s="6">
        <v>0</v>
      </c>
      <c r="E67" s="6">
        <v>0</v>
      </c>
      <c r="F67" s="6">
        <v>1</v>
      </c>
      <c r="G67" s="3">
        <v>0</v>
      </c>
      <c r="H67" s="3">
        <v>41</v>
      </c>
      <c r="I67" s="3">
        <v>159</v>
      </c>
      <c r="J67" s="3">
        <v>50</v>
      </c>
      <c r="K67" s="3">
        <v>19.77769866698311</v>
      </c>
      <c r="L67" s="3">
        <v>5</v>
      </c>
      <c r="M67" s="3">
        <v>18</v>
      </c>
      <c r="N67" s="3">
        <v>63</v>
      </c>
      <c r="O67" s="3">
        <v>10</v>
      </c>
      <c r="P67" s="3">
        <v>8</v>
      </c>
      <c r="Q67" s="3" t="s">
        <v>160</v>
      </c>
      <c r="R67" s="3">
        <v>53</v>
      </c>
      <c r="S67" s="3">
        <v>49</v>
      </c>
      <c r="T67" s="3">
        <v>2177</v>
      </c>
      <c r="U67" s="3">
        <v>950</v>
      </c>
      <c r="V67" s="3">
        <v>454</v>
      </c>
      <c r="W67" s="3">
        <v>619</v>
      </c>
      <c r="X67" s="3">
        <v>37.000814995925019</v>
      </c>
      <c r="Y67" s="3">
        <v>0.7334410339256866</v>
      </c>
    </row>
    <row r="68" spans="1:25">
      <c r="A68" s="3" t="s">
        <v>161</v>
      </c>
      <c r="B68" s="3">
        <v>0</v>
      </c>
      <c r="C68" s="6">
        <v>1</v>
      </c>
      <c r="D68" s="6">
        <v>0</v>
      </c>
      <c r="E68" s="6">
        <v>1</v>
      </c>
      <c r="F68" s="6">
        <v>0</v>
      </c>
      <c r="G68" s="3">
        <v>0</v>
      </c>
      <c r="H68" s="3">
        <v>34</v>
      </c>
      <c r="I68" s="3">
        <v>161</v>
      </c>
      <c r="J68" s="3">
        <v>51</v>
      </c>
      <c r="K68" s="3">
        <v>19.675166853130666</v>
      </c>
      <c r="L68" s="3">
        <v>8</v>
      </c>
      <c r="M68" s="3">
        <v>25</v>
      </c>
      <c r="N68" s="3">
        <v>54</v>
      </c>
      <c r="O68" s="3">
        <v>25</v>
      </c>
      <c r="P68" s="3">
        <v>15</v>
      </c>
      <c r="Q68" s="3" t="s">
        <v>162</v>
      </c>
      <c r="R68" s="3">
        <v>73</v>
      </c>
      <c r="S68" s="3">
        <v>51</v>
      </c>
      <c r="T68" s="3">
        <v>2509</v>
      </c>
      <c r="U68" s="3">
        <v>1704</v>
      </c>
      <c r="V68" s="3">
        <v>421</v>
      </c>
      <c r="W68" s="3">
        <v>251</v>
      </c>
      <c r="X68" s="3">
        <v>52.298136645962735</v>
      </c>
      <c r="Y68" s="3">
        <v>1.6772908366533865</v>
      </c>
    </row>
    <row r="69" spans="1:25">
      <c r="A69" s="3" t="s">
        <v>163</v>
      </c>
      <c r="B69" s="3">
        <v>0</v>
      </c>
      <c r="C69" s="6">
        <v>1</v>
      </c>
      <c r="D69" s="6">
        <v>1</v>
      </c>
      <c r="E69" s="6">
        <v>1</v>
      </c>
      <c r="F69" s="6">
        <v>0</v>
      </c>
      <c r="G69" s="3">
        <v>1</v>
      </c>
      <c r="H69" s="3">
        <v>33</v>
      </c>
      <c r="I69" s="3">
        <v>182</v>
      </c>
      <c r="J69" s="3">
        <v>78</v>
      </c>
      <c r="K69" s="3">
        <v>23.547880690737831</v>
      </c>
      <c r="L69" s="3">
        <v>12</v>
      </c>
      <c r="M69" s="3">
        <v>10</v>
      </c>
      <c r="N69" s="3">
        <v>79</v>
      </c>
      <c r="O69" s="3">
        <v>42</v>
      </c>
      <c r="P69" s="3">
        <v>13</v>
      </c>
      <c r="Q69" s="3" t="s">
        <v>164</v>
      </c>
      <c r="R69" s="3">
        <v>57</v>
      </c>
      <c r="S69" s="3">
        <v>56</v>
      </c>
      <c r="T69" s="3">
        <v>2852</v>
      </c>
      <c r="U69" s="3">
        <v>1568</v>
      </c>
      <c r="V69" s="3">
        <v>424</v>
      </c>
      <c r="W69" s="3">
        <v>748</v>
      </c>
      <c r="X69" s="3">
        <v>33.021806853582554</v>
      </c>
      <c r="Y69" s="3">
        <v>0.5668449197860963</v>
      </c>
    </row>
    <row r="70" spans="1:25">
      <c r="A70" s="3" t="s">
        <v>165</v>
      </c>
      <c r="B70" s="3">
        <v>0</v>
      </c>
      <c r="C70" s="6">
        <v>1</v>
      </c>
      <c r="D70" s="6">
        <v>0</v>
      </c>
      <c r="E70" s="6">
        <v>0</v>
      </c>
      <c r="F70" s="6">
        <v>0</v>
      </c>
      <c r="G70" s="3">
        <v>1</v>
      </c>
      <c r="H70" s="3">
        <v>43</v>
      </c>
      <c r="I70" s="3">
        <v>175</v>
      </c>
      <c r="J70" s="3">
        <v>58</v>
      </c>
      <c r="K70" s="3">
        <v>18.938775510204081</v>
      </c>
      <c r="L70" s="3">
        <v>1</v>
      </c>
      <c r="M70" s="3">
        <v>25</v>
      </c>
      <c r="N70" s="3">
        <v>71</v>
      </c>
      <c r="O70" s="3">
        <v>7</v>
      </c>
      <c r="P70" s="3">
        <v>4</v>
      </c>
      <c r="Q70" s="3" t="s">
        <v>166</v>
      </c>
      <c r="R70" s="3">
        <v>50</v>
      </c>
      <c r="S70" s="3">
        <v>379</v>
      </c>
      <c r="T70" s="3">
        <v>0</v>
      </c>
      <c r="U70" s="3">
        <v>0</v>
      </c>
      <c r="V70" s="3">
        <v>0</v>
      </c>
      <c r="W70" s="3">
        <v>0</v>
      </c>
      <c r="X70" s="3" t="e">
        <v>#DIV/0!</v>
      </c>
      <c r="Y70" s="3" t="e">
        <v>#DIV/0!</v>
      </c>
    </row>
    <row r="71" spans="1:25">
      <c r="A71" s="3" t="s">
        <v>167</v>
      </c>
      <c r="B71" s="3">
        <v>0</v>
      </c>
      <c r="C71" s="6">
        <v>1</v>
      </c>
      <c r="D71" s="6">
        <v>1</v>
      </c>
      <c r="E71" s="6">
        <v>1</v>
      </c>
      <c r="F71" s="6">
        <v>0</v>
      </c>
      <c r="G71" s="3">
        <v>0</v>
      </c>
      <c r="H71" s="3">
        <v>39</v>
      </c>
      <c r="I71" s="3">
        <v>166.5</v>
      </c>
      <c r="J71" s="3">
        <v>55</v>
      </c>
      <c r="K71" s="3">
        <v>19.839659479299119</v>
      </c>
      <c r="L71" s="3">
        <v>20</v>
      </c>
      <c r="M71" s="3">
        <v>21</v>
      </c>
      <c r="N71" s="3">
        <v>51</v>
      </c>
      <c r="O71" s="3">
        <v>33</v>
      </c>
      <c r="P71" s="3">
        <v>38</v>
      </c>
      <c r="Q71" s="3" t="s">
        <v>168</v>
      </c>
      <c r="R71" s="3">
        <v>81</v>
      </c>
      <c r="S71" s="3">
        <v>55</v>
      </c>
      <c r="T71" s="3">
        <v>3404</v>
      </c>
      <c r="U71" s="3">
        <v>2717</v>
      </c>
      <c r="V71" s="3">
        <v>562</v>
      </c>
      <c r="W71" s="3">
        <v>100</v>
      </c>
      <c r="X71" s="3">
        <v>81.804949053857356</v>
      </c>
      <c r="Y71" s="3">
        <v>5.62</v>
      </c>
    </row>
    <row r="72" spans="1:25">
      <c r="A72" s="3" t="s">
        <v>169</v>
      </c>
      <c r="B72" s="3">
        <v>0</v>
      </c>
      <c r="C72" s="6">
        <v>1</v>
      </c>
      <c r="D72" s="6">
        <v>0</v>
      </c>
      <c r="E72" s="6">
        <v>0</v>
      </c>
      <c r="F72" s="6">
        <v>0</v>
      </c>
      <c r="G72" s="3">
        <v>0</v>
      </c>
      <c r="H72" s="3">
        <v>61</v>
      </c>
      <c r="I72" s="3">
        <v>152</v>
      </c>
      <c r="J72" s="3">
        <v>47</v>
      </c>
      <c r="K72" s="3">
        <v>20.342797783933516</v>
      </c>
      <c r="L72" s="3">
        <v>14</v>
      </c>
      <c r="M72" s="3">
        <v>17</v>
      </c>
      <c r="N72" s="3">
        <v>50</v>
      </c>
      <c r="O72" s="3">
        <v>14</v>
      </c>
      <c r="P72" s="3">
        <v>16</v>
      </c>
      <c r="Q72" s="7" t="s">
        <v>170</v>
      </c>
      <c r="R72" s="3">
        <v>58</v>
      </c>
      <c r="S72" s="3">
        <v>33</v>
      </c>
      <c r="T72" s="3">
        <v>996</v>
      </c>
      <c r="U72" s="3">
        <v>522</v>
      </c>
      <c r="V72" s="3">
        <v>106</v>
      </c>
      <c r="W72" s="3">
        <v>304</v>
      </c>
      <c r="X72" s="3">
        <v>22.362869198312236</v>
      </c>
      <c r="Y72" s="3">
        <v>0.34868421052631576</v>
      </c>
    </row>
    <row r="73" spans="1:25">
      <c r="A73" s="3" t="s">
        <v>171</v>
      </c>
      <c r="B73" s="3">
        <v>0</v>
      </c>
      <c r="C73" s="3">
        <v>0</v>
      </c>
      <c r="D73" s="3">
        <v>0</v>
      </c>
      <c r="E73" s="3">
        <v>1</v>
      </c>
      <c r="F73" s="3">
        <v>0</v>
      </c>
      <c r="G73" s="3">
        <v>0</v>
      </c>
      <c r="H73" s="3">
        <v>66</v>
      </c>
      <c r="I73" s="3">
        <v>153</v>
      </c>
      <c r="J73" s="3">
        <v>51</v>
      </c>
      <c r="K73" s="3">
        <v>21.786492374727668</v>
      </c>
      <c r="L73" s="3">
        <v>5</v>
      </c>
      <c r="M73" s="3">
        <v>11</v>
      </c>
      <c r="N73" s="3">
        <v>80</v>
      </c>
      <c r="O73" s="3">
        <v>31</v>
      </c>
      <c r="P73" s="3">
        <v>9</v>
      </c>
      <c r="Q73" s="3" t="s">
        <v>172</v>
      </c>
      <c r="R73" s="3">
        <v>68</v>
      </c>
      <c r="S73" s="3">
        <v>13</v>
      </c>
      <c r="T73" s="3">
        <v>176</v>
      </c>
      <c r="U73" s="3">
        <v>76</v>
      </c>
      <c r="V73" s="3">
        <v>29</v>
      </c>
      <c r="W73" s="3">
        <v>50</v>
      </c>
      <c r="X73" s="3">
        <v>29</v>
      </c>
      <c r="Y73" s="3">
        <v>0.57999999999999996</v>
      </c>
    </row>
    <row r="74" spans="1:25">
      <c r="A74" s="3" t="s">
        <v>173</v>
      </c>
      <c r="B74" s="3">
        <v>0</v>
      </c>
      <c r="C74" s="3">
        <v>0</v>
      </c>
      <c r="D74" s="3">
        <v>0</v>
      </c>
      <c r="E74" s="3">
        <v>0</v>
      </c>
      <c r="F74" s="3">
        <v>1</v>
      </c>
      <c r="G74" s="3">
        <v>0</v>
      </c>
      <c r="H74" s="3">
        <v>37</v>
      </c>
      <c r="I74" s="3">
        <v>161</v>
      </c>
      <c r="J74" s="3">
        <v>70</v>
      </c>
      <c r="K74" s="3">
        <v>27.005130974885226</v>
      </c>
      <c r="L74" s="3">
        <v>7</v>
      </c>
      <c r="M74" s="3">
        <v>19</v>
      </c>
      <c r="N74" s="3">
        <v>45</v>
      </c>
      <c r="O74" s="3">
        <v>14</v>
      </c>
      <c r="P74" s="3">
        <v>3</v>
      </c>
      <c r="Q74" s="3" t="s">
        <v>174</v>
      </c>
      <c r="R74" s="3">
        <v>70</v>
      </c>
      <c r="S74" s="3">
        <v>57</v>
      </c>
      <c r="T74" s="3">
        <v>3033</v>
      </c>
      <c r="U74" s="3">
        <v>1397</v>
      </c>
      <c r="V74" s="3">
        <v>568</v>
      </c>
      <c r="W74" s="3">
        <v>998</v>
      </c>
      <c r="X74" s="3">
        <v>34.718826405867972</v>
      </c>
      <c r="Y74" s="3">
        <v>0.56913827655310623</v>
      </c>
    </row>
    <row r="75" spans="1:25">
      <c r="A75" s="3" t="s">
        <v>175</v>
      </c>
      <c r="B75" s="3">
        <v>0</v>
      </c>
      <c r="C75" s="3">
        <v>0</v>
      </c>
      <c r="D75" s="3">
        <v>0</v>
      </c>
      <c r="E75" s="3">
        <v>0</v>
      </c>
      <c r="F75" s="3">
        <v>1</v>
      </c>
      <c r="G75" s="3">
        <v>1</v>
      </c>
      <c r="H75" s="3">
        <v>25</v>
      </c>
      <c r="I75" s="3">
        <v>169</v>
      </c>
      <c r="J75" s="3">
        <v>63</v>
      </c>
      <c r="K75" s="3">
        <v>22.058051188683873</v>
      </c>
      <c r="L75" s="3">
        <v>7</v>
      </c>
      <c r="M75" s="3">
        <v>14</v>
      </c>
      <c r="N75" s="3">
        <v>61</v>
      </c>
      <c r="O75" s="3">
        <v>22</v>
      </c>
      <c r="P75" s="3">
        <v>7</v>
      </c>
      <c r="Q75" s="3" t="s">
        <v>176</v>
      </c>
      <c r="R75" s="3">
        <v>89</v>
      </c>
      <c r="S75" s="3">
        <v>29</v>
      </c>
      <c r="T75" s="3">
        <v>941</v>
      </c>
      <c r="U75" s="3">
        <v>444</v>
      </c>
      <c r="V75" s="3">
        <v>279</v>
      </c>
      <c r="W75" s="3">
        <v>160</v>
      </c>
      <c r="X75" s="3">
        <v>56.136820925553323</v>
      </c>
      <c r="Y75" s="3">
        <v>1.7437499999999999</v>
      </c>
    </row>
    <row r="76" spans="1:25">
      <c r="A76" s="8" t="s">
        <v>177</v>
      </c>
      <c r="B76" s="3">
        <v>0</v>
      </c>
      <c r="C76" s="3">
        <v>1</v>
      </c>
      <c r="D76" s="3">
        <v>1</v>
      </c>
      <c r="E76" s="3">
        <v>1</v>
      </c>
      <c r="F76" s="3">
        <v>0</v>
      </c>
      <c r="G76" s="3">
        <v>1</v>
      </c>
      <c r="H76" s="3">
        <v>66</v>
      </c>
      <c r="I76" s="3">
        <v>170</v>
      </c>
      <c r="J76" s="3">
        <v>80</v>
      </c>
      <c r="K76" s="3">
        <v>27.681660899653981</v>
      </c>
      <c r="L76" s="3">
        <v>6</v>
      </c>
      <c r="M76" s="3">
        <v>43</v>
      </c>
      <c r="N76" s="3">
        <v>68</v>
      </c>
      <c r="O76" s="3">
        <v>10</v>
      </c>
      <c r="P76" s="3">
        <v>15</v>
      </c>
      <c r="Q76" s="3" t="s">
        <v>178</v>
      </c>
      <c r="R76" s="3">
        <v>63</v>
      </c>
      <c r="S76" s="3">
        <v>42</v>
      </c>
      <c r="T76" s="3">
        <v>2228</v>
      </c>
      <c r="U76" s="3">
        <v>1420</v>
      </c>
      <c r="V76" s="3">
        <v>613</v>
      </c>
      <c r="W76" s="3">
        <v>171</v>
      </c>
      <c r="X76" s="3">
        <v>75.866336633663366</v>
      </c>
      <c r="Y76" s="3">
        <v>3.5847953216374271</v>
      </c>
    </row>
    <row r="77" spans="1:25">
      <c r="A77" s="8" t="s">
        <v>179</v>
      </c>
      <c r="B77" s="3">
        <v>0</v>
      </c>
      <c r="C77" s="3">
        <v>0</v>
      </c>
      <c r="D77" s="3">
        <v>1</v>
      </c>
      <c r="E77" s="3">
        <v>0</v>
      </c>
      <c r="F77" s="3">
        <v>0</v>
      </c>
      <c r="G77" s="3">
        <v>0</v>
      </c>
      <c r="H77" s="3">
        <v>24</v>
      </c>
      <c r="I77" s="3">
        <v>160</v>
      </c>
      <c r="J77" s="3">
        <v>67</v>
      </c>
      <c r="K77" s="3">
        <v>26.171874999999996</v>
      </c>
      <c r="L77" s="3">
        <v>17</v>
      </c>
      <c r="M77" s="3">
        <v>21</v>
      </c>
      <c r="N77" s="3">
        <v>66</v>
      </c>
      <c r="O77" s="3">
        <v>31</v>
      </c>
      <c r="P77" s="3">
        <v>29</v>
      </c>
      <c r="Q77" s="3" t="s">
        <v>180</v>
      </c>
      <c r="R77" s="3">
        <v>67</v>
      </c>
      <c r="S77" s="3">
        <v>53</v>
      </c>
      <c r="T77" s="3">
        <v>2758</v>
      </c>
      <c r="U77" s="3">
        <v>1825</v>
      </c>
      <c r="V77" s="3">
        <v>454</v>
      </c>
      <c r="W77" s="3">
        <v>387</v>
      </c>
      <c r="X77" s="3">
        <v>48.660235798499464</v>
      </c>
      <c r="Y77" s="3">
        <v>1.17312661498708</v>
      </c>
    </row>
    <row r="78" spans="1:25">
      <c r="A78" s="8" t="s">
        <v>181</v>
      </c>
      <c r="B78" s="3">
        <v>0</v>
      </c>
      <c r="C78" s="3">
        <v>0</v>
      </c>
      <c r="D78" s="3">
        <v>1</v>
      </c>
      <c r="E78" s="3">
        <v>0</v>
      </c>
      <c r="F78" s="3">
        <v>0</v>
      </c>
      <c r="G78" s="3">
        <v>0</v>
      </c>
      <c r="H78" s="3">
        <v>42</v>
      </c>
      <c r="I78" s="3">
        <v>158</v>
      </c>
      <c r="J78" s="3">
        <v>70</v>
      </c>
      <c r="K78" s="3">
        <v>28.040378144528116</v>
      </c>
      <c r="L78" s="3">
        <v>9</v>
      </c>
      <c r="M78" s="3">
        <v>26</v>
      </c>
      <c r="N78" s="3">
        <v>68</v>
      </c>
      <c r="O78" s="3">
        <v>19</v>
      </c>
      <c r="P78" s="3">
        <v>30</v>
      </c>
      <c r="Q78" s="3" t="s">
        <v>182</v>
      </c>
      <c r="R78" s="3">
        <v>60</v>
      </c>
      <c r="S78" s="3">
        <v>30</v>
      </c>
      <c r="T78" s="3">
        <v>929</v>
      </c>
      <c r="U78" s="3">
        <v>511</v>
      </c>
      <c r="V78" s="3">
        <v>174</v>
      </c>
      <c r="W78" s="3">
        <v>226</v>
      </c>
      <c r="X78" s="3">
        <v>41.626794258373202</v>
      </c>
      <c r="Y78" s="3">
        <v>0.76991150442477874</v>
      </c>
    </row>
    <row r="79" spans="1:25">
      <c r="A79" s="8" t="s">
        <v>183</v>
      </c>
      <c r="B79" s="3">
        <v>0</v>
      </c>
      <c r="C79" s="3">
        <v>0</v>
      </c>
      <c r="D79" s="3">
        <v>1</v>
      </c>
      <c r="E79" s="3">
        <v>0</v>
      </c>
      <c r="F79" s="3">
        <v>0</v>
      </c>
      <c r="G79" s="3">
        <v>0</v>
      </c>
      <c r="H79" s="3">
        <v>40</v>
      </c>
      <c r="I79" s="3">
        <v>157</v>
      </c>
      <c r="J79" s="3">
        <v>50</v>
      </c>
      <c r="K79" s="3">
        <v>20.28479857195018</v>
      </c>
      <c r="L79" s="3">
        <v>23</v>
      </c>
      <c r="M79" s="3">
        <v>25</v>
      </c>
      <c r="N79" s="3">
        <v>52</v>
      </c>
      <c r="O79" s="3">
        <v>43</v>
      </c>
      <c r="P79" s="3">
        <v>49</v>
      </c>
      <c r="Q79" s="3" t="s">
        <v>184</v>
      </c>
      <c r="R79" s="3">
        <v>93</v>
      </c>
      <c r="S79" s="3">
        <v>37</v>
      </c>
      <c r="T79" s="3">
        <v>1477</v>
      </c>
      <c r="U79" s="3">
        <v>1198</v>
      </c>
      <c r="V79" s="3">
        <v>129</v>
      </c>
      <c r="W79" s="3">
        <v>94</v>
      </c>
      <c r="X79" s="3">
        <v>34.795321637426902</v>
      </c>
      <c r="Y79" s="3">
        <v>0.68918918918918914</v>
      </c>
    </row>
    <row r="80" spans="1:25">
      <c r="A80" s="8" t="s">
        <v>185</v>
      </c>
      <c r="B80" s="3">
        <v>0</v>
      </c>
      <c r="C80" s="3">
        <v>1</v>
      </c>
      <c r="D80" s="3">
        <v>1</v>
      </c>
      <c r="E80" s="3">
        <v>0</v>
      </c>
      <c r="F80" s="3">
        <v>1</v>
      </c>
      <c r="G80" s="3">
        <v>0</v>
      </c>
      <c r="H80" s="3">
        <v>58</v>
      </c>
      <c r="I80" s="3">
        <v>148</v>
      </c>
      <c r="J80" s="3">
        <v>47</v>
      </c>
      <c r="K80" s="3">
        <v>21.457268078889701</v>
      </c>
      <c r="L80" s="3">
        <v>14</v>
      </c>
      <c r="M80" s="3">
        <v>23</v>
      </c>
      <c r="N80" s="3">
        <v>85</v>
      </c>
      <c r="O80" s="3">
        <v>24</v>
      </c>
      <c r="P80" s="3">
        <v>23</v>
      </c>
      <c r="Q80" s="3" t="s">
        <v>186</v>
      </c>
      <c r="R80" s="3">
        <v>93</v>
      </c>
      <c r="S80" s="3">
        <v>25</v>
      </c>
      <c r="T80" s="3">
        <v>624</v>
      </c>
      <c r="U80" s="3">
        <v>282</v>
      </c>
      <c r="V80" s="3">
        <v>139</v>
      </c>
      <c r="W80" s="3">
        <v>133</v>
      </c>
      <c r="X80" s="3">
        <v>68.421052631578945</v>
      </c>
      <c r="Y80" s="3">
        <v>2.8888888888888888</v>
      </c>
    </row>
    <row r="81" spans="1:25">
      <c r="A81" s="8" t="s">
        <v>187</v>
      </c>
      <c r="B81" s="3">
        <v>0</v>
      </c>
      <c r="C81" s="3">
        <v>0</v>
      </c>
      <c r="D81" s="3">
        <v>1</v>
      </c>
      <c r="E81" s="3">
        <v>1</v>
      </c>
      <c r="F81" s="3">
        <v>0</v>
      </c>
      <c r="G81" s="3">
        <v>0</v>
      </c>
      <c r="H81" s="3">
        <v>45</v>
      </c>
      <c r="I81" s="3">
        <v>163</v>
      </c>
      <c r="J81" s="3">
        <v>53</v>
      </c>
      <c r="K81" s="3">
        <v>19.948059768903612</v>
      </c>
      <c r="L81" s="3">
        <v>8</v>
      </c>
      <c r="M81" s="3">
        <v>7</v>
      </c>
      <c r="N81" s="3">
        <v>50</v>
      </c>
      <c r="O81" s="3">
        <v>29</v>
      </c>
      <c r="P81" s="3">
        <v>30</v>
      </c>
      <c r="Q81" s="3" t="s">
        <v>188</v>
      </c>
      <c r="R81" s="3">
        <v>65</v>
      </c>
      <c r="S81" s="3">
        <v>40</v>
      </c>
      <c r="T81" s="3">
        <v>1396</v>
      </c>
      <c r="U81" s="3">
        <v>370</v>
      </c>
      <c r="V81" s="3">
        <v>357</v>
      </c>
      <c r="W81" s="3">
        <v>518</v>
      </c>
      <c r="X81" s="3">
        <v>26.027397260273972</v>
      </c>
      <c r="Y81" s="3">
        <v>0.40425531914893614</v>
      </c>
    </row>
    <row r="82" spans="1:25">
      <c r="A82" s="8" t="s">
        <v>189</v>
      </c>
      <c r="B82" s="3">
        <v>0</v>
      </c>
      <c r="C82" s="3">
        <v>1</v>
      </c>
      <c r="D82" s="3">
        <v>0</v>
      </c>
      <c r="E82" s="3">
        <v>0</v>
      </c>
      <c r="F82" s="3">
        <v>0</v>
      </c>
      <c r="G82" s="3">
        <v>1</v>
      </c>
      <c r="H82" s="3">
        <v>20</v>
      </c>
      <c r="I82" s="3">
        <v>178</v>
      </c>
      <c r="J82" s="3">
        <v>70</v>
      </c>
      <c r="K82" s="3">
        <v>22.093170054286073</v>
      </c>
      <c r="L82" s="3">
        <v>7</v>
      </c>
      <c r="M82" s="3">
        <v>13</v>
      </c>
      <c r="N82" s="3">
        <v>45</v>
      </c>
      <c r="O82" s="3">
        <v>8</v>
      </c>
      <c r="P82" s="3">
        <v>8</v>
      </c>
      <c r="Q82" s="3" t="s">
        <v>190</v>
      </c>
      <c r="R82" s="3">
        <v>106</v>
      </c>
      <c r="S82" s="3">
        <v>18</v>
      </c>
      <c r="T82" s="3">
        <v>410</v>
      </c>
      <c r="U82" s="3">
        <v>334</v>
      </c>
      <c r="V82" s="3">
        <v>52</v>
      </c>
      <c r="W82" s="3">
        <v>18</v>
      </c>
      <c r="X82" s="3">
        <v>65.673981191222566</v>
      </c>
      <c r="Y82" s="3">
        <v>2.302197802197802</v>
      </c>
    </row>
    <row r="83" spans="1:25">
      <c r="A83" s="8" t="s">
        <v>191</v>
      </c>
      <c r="B83" s="3">
        <v>0</v>
      </c>
      <c r="C83" s="3">
        <v>1</v>
      </c>
      <c r="D83" s="3">
        <v>1</v>
      </c>
      <c r="E83" s="3">
        <v>1</v>
      </c>
      <c r="F83" s="3">
        <v>0</v>
      </c>
      <c r="G83" s="3">
        <v>1</v>
      </c>
      <c r="H83" s="3">
        <v>65</v>
      </c>
      <c r="I83" s="3">
        <v>166</v>
      </c>
      <c r="K83" s="3">
        <v>0</v>
      </c>
      <c r="L83" s="3">
        <v>10</v>
      </c>
      <c r="M83" s="3">
        <v>39</v>
      </c>
      <c r="N83" s="3">
        <v>72</v>
      </c>
      <c r="O83" s="3">
        <v>27</v>
      </c>
      <c r="P83" s="3">
        <v>34</v>
      </c>
      <c r="Q83" s="3" t="s">
        <v>192</v>
      </c>
      <c r="R83" s="3">
        <v>82</v>
      </c>
      <c r="S83" s="3">
        <v>11</v>
      </c>
      <c r="T83" s="3">
        <v>147</v>
      </c>
      <c r="U83" s="3">
        <v>74</v>
      </c>
      <c r="V83" s="3">
        <v>19</v>
      </c>
      <c r="W83" s="3">
        <v>47</v>
      </c>
      <c r="X83" s="3">
        <v>26.027397260273972</v>
      </c>
      <c r="Y83" s="3">
        <v>0.40425531914893614</v>
      </c>
    </row>
    <row r="84" spans="1:25">
      <c r="A84" s="8" t="s">
        <v>193</v>
      </c>
      <c r="B84" s="3">
        <v>0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48</v>
      </c>
      <c r="I84" s="3">
        <v>159</v>
      </c>
      <c r="J84" s="3">
        <v>64</v>
      </c>
      <c r="K84" s="3">
        <v>25.315454293738377</v>
      </c>
      <c r="L84" s="3">
        <v>10</v>
      </c>
      <c r="M84" s="3">
        <v>22</v>
      </c>
      <c r="N84" s="3">
        <v>61</v>
      </c>
      <c r="O84" s="3">
        <v>8</v>
      </c>
      <c r="P84" s="3">
        <v>8</v>
      </c>
      <c r="Q84" s="3" t="s">
        <v>194</v>
      </c>
      <c r="R84" s="3">
        <v>63</v>
      </c>
      <c r="S84" s="3">
        <v>44</v>
      </c>
      <c r="T84" s="3">
        <v>1993</v>
      </c>
      <c r="U84" s="3">
        <v>1355</v>
      </c>
      <c r="V84" s="3">
        <v>419</v>
      </c>
      <c r="W84" s="3">
        <v>182</v>
      </c>
      <c r="X84" s="3">
        <v>65.673981191222566</v>
      </c>
      <c r="Y84" s="3">
        <v>2.302197802197802</v>
      </c>
    </row>
    <row r="85" spans="1:25">
      <c r="A85" s="8" t="s">
        <v>195</v>
      </c>
      <c r="B85" s="3">
        <v>0</v>
      </c>
      <c r="C85" s="3">
        <v>1</v>
      </c>
      <c r="D85" s="3">
        <v>0</v>
      </c>
      <c r="E85" s="3">
        <v>1</v>
      </c>
      <c r="F85" s="3">
        <v>1</v>
      </c>
      <c r="G85" s="3">
        <v>0</v>
      </c>
      <c r="H85" s="3">
        <v>54</v>
      </c>
      <c r="I85" s="3">
        <v>162</v>
      </c>
      <c r="J85" s="3">
        <v>63</v>
      </c>
      <c r="K85" s="3">
        <v>24.005486968449926</v>
      </c>
      <c r="L85" s="3">
        <v>17</v>
      </c>
      <c r="M85" s="3">
        <v>30</v>
      </c>
      <c r="N85" s="3">
        <v>87</v>
      </c>
      <c r="O85" s="3">
        <v>39</v>
      </c>
      <c r="P85" s="3">
        <v>44</v>
      </c>
      <c r="Q85" s="3" t="s">
        <v>196</v>
      </c>
      <c r="R85" s="3">
        <v>84</v>
      </c>
      <c r="S85" s="3">
        <v>18</v>
      </c>
      <c r="T85" s="3">
        <v>351</v>
      </c>
      <c r="U85" s="3">
        <v>266</v>
      </c>
      <c r="V85" s="3">
        <v>39</v>
      </c>
      <c r="W85" s="3">
        <v>18</v>
      </c>
      <c r="X85" s="3">
        <v>45.882352941176471</v>
      </c>
      <c r="Y85" s="3">
        <v>2.1666666666666665</v>
      </c>
    </row>
    <row r="86" spans="1:25">
      <c r="A86" s="8" t="s">
        <v>197</v>
      </c>
      <c r="B86" s="3">
        <v>0</v>
      </c>
      <c r="C86" s="3">
        <v>1</v>
      </c>
      <c r="D86" s="3">
        <v>1</v>
      </c>
      <c r="E86" s="3">
        <v>0</v>
      </c>
      <c r="F86" s="3">
        <v>0</v>
      </c>
      <c r="G86" s="3">
        <v>1</v>
      </c>
      <c r="H86" s="3">
        <v>24</v>
      </c>
      <c r="I86" s="3">
        <v>181</v>
      </c>
      <c r="J86" s="3">
        <v>91</v>
      </c>
      <c r="K86" s="3">
        <v>27.776929886145112</v>
      </c>
      <c r="L86" s="3">
        <v>12</v>
      </c>
      <c r="M86" s="3">
        <v>48</v>
      </c>
      <c r="N86" s="3">
        <v>61</v>
      </c>
      <c r="O86" s="3">
        <v>10</v>
      </c>
      <c r="P86" s="3">
        <v>44</v>
      </c>
      <c r="Q86" s="3" t="s">
        <v>198</v>
      </c>
      <c r="R86" s="3">
        <v>72</v>
      </c>
      <c r="S86" s="3">
        <v>58</v>
      </c>
      <c r="T86" s="3">
        <v>3059</v>
      </c>
      <c r="U86" s="3">
        <v>954</v>
      </c>
      <c r="V86" s="3">
        <v>1022</v>
      </c>
      <c r="W86" s="3">
        <v>758</v>
      </c>
      <c r="X86" s="3">
        <v>48.551068883610448</v>
      </c>
      <c r="Y86" s="3">
        <v>1.3482849604221636</v>
      </c>
    </row>
    <row r="87" spans="1:25">
      <c r="A87" s="3" t="s">
        <v>199</v>
      </c>
      <c r="B87" s="3">
        <v>0</v>
      </c>
      <c r="C87" s="3">
        <v>0</v>
      </c>
      <c r="D87" s="3">
        <v>0</v>
      </c>
      <c r="E87" s="3">
        <v>1</v>
      </c>
      <c r="F87" s="3">
        <v>0</v>
      </c>
      <c r="G87" s="3">
        <v>1</v>
      </c>
      <c r="H87" s="3">
        <v>35</v>
      </c>
      <c r="I87" s="3">
        <v>185</v>
      </c>
      <c r="J87" s="3">
        <v>85</v>
      </c>
      <c r="K87" s="3">
        <v>24.835646457268076</v>
      </c>
      <c r="L87" s="3">
        <v>8</v>
      </c>
      <c r="M87" s="3">
        <v>14</v>
      </c>
      <c r="N87" s="3">
        <v>41</v>
      </c>
      <c r="O87" s="3">
        <v>10</v>
      </c>
      <c r="P87" s="3">
        <v>15</v>
      </c>
      <c r="Q87" s="3" t="s">
        <v>200</v>
      </c>
      <c r="R87" s="3">
        <v>88</v>
      </c>
      <c r="S87" s="3">
        <v>46</v>
      </c>
      <c r="T87" s="3">
        <v>2040</v>
      </c>
      <c r="U87" s="3">
        <v>334</v>
      </c>
      <c r="V87" s="3">
        <v>720</v>
      </c>
      <c r="W87" s="3">
        <v>505</v>
      </c>
      <c r="X87" s="3">
        <v>42.203985932004692</v>
      </c>
      <c r="Y87" s="3">
        <v>1.4257425742574257</v>
      </c>
    </row>
    <row r="88" spans="1:25">
      <c r="A88" s="3" t="s">
        <v>201</v>
      </c>
      <c r="B88" s="3">
        <v>1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20</v>
      </c>
      <c r="I88" s="3">
        <v>160</v>
      </c>
      <c r="J88" s="3">
        <v>59</v>
      </c>
      <c r="K88" s="3">
        <v>23.046874999999996</v>
      </c>
      <c r="L88" s="3">
        <v>5</v>
      </c>
      <c r="M88" s="3">
        <v>27</v>
      </c>
      <c r="N88" s="3">
        <v>70</v>
      </c>
      <c r="O88" s="3">
        <v>46</v>
      </c>
      <c r="P88" s="3">
        <v>22</v>
      </c>
      <c r="Q88" s="3" t="s">
        <v>202</v>
      </c>
      <c r="R88" s="3">
        <v>81</v>
      </c>
      <c r="S88" s="3">
        <v>37</v>
      </c>
      <c r="T88" s="3">
        <v>1333</v>
      </c>
      <c r="U88" s="3">
        <v>639</v>
      </c>
      <c r="V88" s="3">
        <v>559</v>
      </c>
      <c r="W88" s="3">
        <v>117</v>
      </c>
      <c r="X88" s="3">
        <v>80.547550432276651</v>
      </c>
      <c r="Y88" s="3">
        <v>4.7777777777777777</v>
      </c>
    </row>
    <row r="89" spans="1:25" s="4" customFormat="1">
      <c r="A89" s="4" t="s">
        <v>203</v>
      </c>
      <c r="B89" s="3">
        <v>0</v>
      </c>
      <c r="C89" s="4">
        <v>0</v>
      </c>
      <c r="D89" s="4">
        <v>1</v>
      </c>
      <c r="E89" s="4">
        <v>0</v>
      </c>
      <c r="F89" s="4">
        <v>0</v>
      </c>
      <c r="G89" s="4">
        <v>1</v>
      </c>
      <c r="H89" s="4">
        <v>31</v>
      </c>
      <c r="I89" s="4">
        <v>182</v>
      </c>
      <c r="J89" s="4">
        <v>86</v>
      </c>
      <c r="K89" s="4">
        <v>25.963047941069917</v>
      </c>
      <c r="L89" s="4">
        <v>0</v>
      </c>
      <c r="M89" s="4">
        <v>13</v>
      </c>
      <c r="N89" s="4">
        <v>35</v>
      </c>
      <c r="O89" s="4">
        <v>3</v>
      </c>
      <c r="P89" s="4">
        <v>0</v>
      </c>
      <c r="Q89" s="3" t="s">
        <v>204</v>
      </c>
      <c r="R89" s="4">
        <v>63</v>
      </c>
      <c r="S89" s="4">
        <v>42</v>
      </c>
      <c r="T89" s="4">
        <v>1892</v>
      </c>
      <c r="U89" s="4">
        <v>1221</v>
      </c>
      <c r="V89" s="4">
        <v>392</v>
      </c>
      <c r="W89" s="4">
        <v>216</v>
      </c>
      <c r="X89" s="4">
        <v>58.420268256333827</v>
      </c>
      <c r="Y89" s="4">
        <v>1.8148148148148149</v>
      </c>
    </row>
    <row r="90" spans="1:25">
      <c r="A90" s="3" t="s">
        <v>205</v>
      </c>
      <c r="B90" s="3">
        <v>0</v>
      </c>
      <c r="C90" s="3">
        <v>1</v>
      </c>
      <c r="D90" s="3">
        <v>1</v>
      </c>
      <c r="E90" s="3">
        <v>0</v>
      </c>
      <c r="F90" s="3">
        <v>1</v>
      </c>
      <c r="G90" s="3">
        <v>0</v>
      </c>
      <c r="H90" s="3">
        <v>67</v>
      </c>
      <c r="I90" s="3">
        <v>153</v>
      </c>
      <c r="J90" s="3">
        <v>63</v>
      </c>
      <c r="K90" s="3">
        <v>26.91272587466359</v>
      </c>
      <c r="L90" s="3">
        <v>19</v>
      </c>
      <c r="M90" s="3">
        <v>34</v>
      </c>
      <c r="N90" s="3">
        <v>66</v>
      </c>
      <c r="O90" s="3">
        <v>7</v>
      </c>
      <c r="P90" s="3">
        <v>34</v>
      </c>
      <c r="Q90" s="3" t="s">
        <v>206</v>
      </c>
      <c r="R90" s="3">
        <v>56</v>
      </c>
      <c r="S90" s="3">
        <v>34</v>
      </c>
      <c r="T90" s="3">
        <v>1073</v>
      </c>
      <c r="U90" s="3">
        <v>604</v>
      </c>
      <c r="V90" s="3">
        <v>121</v>
      </c>
      <c r="W90" s="3">
        <v>303</v>
      </c>
      <c r="X90" s="3">
        <v>25.799573560767591</v>
      </c>
      <c r="Y90" s="3">
        <v>0.39933993399339934</v>
      </c>
    </row>
    <row r="91" spans="1:25">
      <c r="A91" s="3" t="s">
        <v>207</v>
      </c>
      <c r="B91" s="3">
        <v>0</v>
      </c>
      <c r="C91" s="3">
        <v>1</v>
      </c>
      <c r="D91" s="3">
        <v>1</v>
      </c>
      <c r="E91" s="3">
        <v>0</v>
      </c>
      <c r="F91" s="3">
        <v>1</v>
      </c>
      <c r="G91" s="3">
        <v>0</v>
      </c>
      <c r="H91" s="3">
        <v>52</v>
      </c>
      <c r="I91" s="3">
        <v>165</v>
      </c>
      <c r="J91" s="3">
        <v>85</v>
      </c>
      <c r="K91" s="3">
        <v>31.221303948576679</v>
      </c>
      <c r="L91" s="3">
        <v>22</v>
      </c>
      <c r="M91" s="3">
        <v>31</v>
      </c>
      <c r="N91" s="3">
        <v>77</v>
      </c>
      <c r="O91" s="3">
        <v>21</v>
      </c>
      <c r="P91" s="3">
        <v>27</v>
      </c>
      <c r="Q91" s="3" t="s">
        <v>208</v>
      </c>
      <c r="R91" s="3">
        <v>78</v>
      </c>
      <c r="S91" s="3">
        <v>25</v>
      </c>
      <c r="T91" s="3">
        <v>726</v>
      </c>
      <c r="U91" s="3">
        <v>445</v>
      </c>
      <c r="V91" s="3">
        <v>132</v>
      </c>
      <c r="W91" s="3">
        <v>115</v>
      </c>
      <c r="X91" s="3">
        <v>46.97508896797153</v>
      </c>
      <c r="Y91" s="3">
        <v>1.1478260869565218</v>
      </c>
    </row>
    <row r="92" spans="1:25" s="4" customFormat="1">
      <c r="A92" s="4" t="s">
        <v>209</v>
      </c>
      <c r="B92" s="3">
        <v>0</v>
      </c>
      <c r="C92" s="4">
        <v>0</v>
      </c>
      <c r="D92" s="4">
        <v>1</v>
      </c>
      <c r="E92" s="4">
        <v>0</v>
      </c>
      <c r="F92" s="4">
        <v>1</v>
      </c>
      <c r="G92" s="4">
        <v>1</v>
      </c>
      <c r="H92" s="4">
        <v>58</v>
      </c>
      <c r="I92" s="4">
        <v>167</v>
      </c>
      <c r="J92" s="4">
        <v>72</v>
      </c>
      <c r="K92" s="4">
        <v>25.816630212628635</v>
      </c>
      <c r="L92" s="4">
        <v>7</v>
      </c>
      <c r="M92" s="4">
        <v>22</v>
      </c>
      <c r="N92" s="4">
        <v>52</v>
      </c>
      <c r="O92" s="4">
        <v>7</v>
      </c>
      <c r="P92" s="4">
        <v>5</v>
      </c>
      <c r="Q92" s="3" t="s">
        <v>210</v>
      </c>
      <c r="R92" s="4">
        <v>74</v>
      </c>
      <c r="S92" s="4">
        <v>42</v>
      </c>
      <c r="T92" s="4">
        <v>1907</v>
      </c>
      <c r="U92" s="4">
        <v>1055</v>
      </c>
      <c r="V92" s="4">
        <v>708</v>
      </c>
      <c r="W92" s="4">
        <v>125</v>
      </c>
      <c r="X92" s="4">
        <v>83.098591549295776</v>
      </c>
      <c r="Y92" s="4">
        <v>5.6639999999999997</v>
      </c>
    </row>
    <row r="93" spans="1:25">
      <c r="A93" s="3" t="s">
        <v>211</v>
      </c>
      <c r="B93" s="3">
        <v>0</v>
      </c>
      <c r="C93" s="3">
        <v>1</v>
      </c>
      <c r="D93" s="3">
        <v>1</v>
      </c>
      <c r="E93" s="3">
        <v>0</v>
      </c>
      <c r="F93" s="3">
        <v>0</v>
      </c>
      <c r="G93" s="3">
        <v>1</v>
      </c>
      <c r="H93" s="3">
        <v>40</v>
      </c>
      <c r="I93" s="3">
        <v>172</v>
      </c>
      <c r="J93" s="3">
        <v>94</v>
      </c>
      <c r="K93" s="3">
        <v>31.773931855056791</v>
      </c>
      <c r="L93" s="3">
        <v>10</v>
      </c>
      <c r="M93" s="3">
        <v>27</v>
      </c>
      <c r="N93" s="3">
        <v>50</v>
      </c>
      <c r="O93" s="3">
        <v>13</v>
      </c>
      <c r="P93" s="3">
        <v>24</v>
      </c>
      <c r="Q93" s="3" t="s">
        <v>212</v>
      </c>
      <c r="R93" s="3">
        <v>61</v>
      </c>
      <c r="S93" s="3">
        <v>35</v>
      </c>
      <c r="T93" s="3">
        <v>1207</v>
      </c>
      <c r="U93" s="3">
        <v>464</v>
      </c>
      <c r="V93" s="3">
        <v>368</v>
      </c>
      <c r="W93" s="3">
        <v>319</v>
      </c>
      <c r="X93" s="3">
        <v>49.52893674293405</v>
      </c>
      <c r="Y93" s="3">
        <v>1.1536050156739812</v>
      </c>
    </row>
    <row r="94" spans="1:25">
      <c r="A94" s="3" t="s">
        <v>213</v>
      </c>
      <c r="B94" s="3">
        <v>0</v>
      </c>
      <c r="C94" s="3">
        <v>1</v>
      </c>
      <c r="D94" s="3">
        <v>1</v>
      </c>
      <c r="E94" s="3">
        <v>0</v>
      </c>
      <c r="F94" s="3">
        <v>1</v>
      </c>
      <c r="G94" s="3">
        <v>1</v>
      </c>
      <c r="H94" s="3">
        <v>32</v>
      </c>
      <c r="I94" s="3">
        <v>177</v>
      </c>
      <c r="J94" s="3">
        <v>86</v>
      </c>
      <c r="K94" s="3">
        <v>27.450604870886398</v>
      </c>
      <c r="L94" s="3">
        <v>10</v>
      </c>
      <c r="M94" s="3">
        <v>33</v>
      </c>
      <c r="N94" s="3">
        <v>64</v>
      </c>
      <c r="O94" s="3">
        <v>12</v>
      </c>
      <c r="P94" s="3">
        <v>32</v>
      </c>
      <c r="Q94" s="3" t="s">
        <v>214</v>
      </c>
      <c r="R94" s="3">
        <v>79</v>
      </c>
      <c r="S94" s="3">
        <v>31</v>
      </c>
      <c r="T94" s="3">
        <v>1014</v>
      </c>
      <c r="U94" s="3">
        <v>475</v>
      </c>
      <c r="V94" s="3">
        <v>344</v>
      </c>
      <c r="W94" s="3">
        <v>165</v>
      </c>
      <c r="X94" s="3">
        <v>63.821892393320965</v>
      </c>
      <c r="Y94" s="3">
        <v>2.084848484848485</v>
      </c>
    </row>
    <row r="95" spans="1:25">
      <c r="A95" s="3" t="s">
        <v>215</v>
      </c>
      <c r="B95" s="3">
        <v>0</v>
      </c>
      <c r="C95" s="3">
        <v>1</v>
      </c>
      <c r="D95" s="3">
        <v>0</v>
      </c>
      <c r="E95" s="3">
        <v>1</v>
      </c>
      <c r="F95" s="3">
        <v>1</v>
      </c>
      <c r="G95" s="3">
        <v>0</v>
      </c>
      <c r="H95" s="3">
        <v>37</v>
      </c>
      <c r="I95" s="3">
        <v>157</v>
      </c>
      <c r="J95" s="3">
        <v>42</v>
      </c>
      <c r="K95" s="3">
        <v>17.039230800438151</v>
      </c>
      <c r="L95" s="3">
        <v>10</v>
      </c>
      <c r="M95" s="3">
        <v>20</v>
      </c>
      <c r="N95" s="3">
        <v>72</v>
      </c>
      <c r="O95" s="3">
        <v>12</v>
      </c>
      <c r="P95" s="3">
        <v>9</v>
      </c>
      <c r="Q95" s="3" t="s">
        <v>216</v>
      </c>
      <c r="R95" s="3">
        <v>86</v>
      </c>
      <c r="S95" s="3">
        <v>39</v>
      </c>
      <c r="T95" s="3">
        <v>1559</v>
      </c>
      <c r="U95" s="3">
        <v>539</v>
      </c>
      <c r="V95" s="3">
        <v>584</v>
      </c>
      <c r="W95" s="3">
        <v>247</v>
      </c>
      <c r="X95" s="3">
        <v>57.254901960784316</v>
      </c>
      <c r="Y95" s="3">
        <v>2.3643724696356276</v>
      </c>
    </row>
    <row r="96" spans="1:25">
      <c r="A96" s="3" t="s">
        <v>217</v>
      </c>
      <c r="B96" s="3">
        <v>0</v>
      </c>
      <c r="C96" s="3">
        <v>1</v>
      </c>
      <c r="D96" s="3">
        <v>1</v>
      </c>
      <c r="E96" s="3">
        <v>0</v>
      </c>
      <c r="F96" s="3">
        <v>1</v>
      </c>
      <c r="G96" s="3">
        <v>1</v>
      </c>
      <c r="H96" s="3">
        <v>44</v>
      </c>
      <c r="I96" s="3">
        <v>182</v>
      </c>
      <c r="J96" s="3">
        <v>71</v>
      </c>
      <c r="K96" s="3">
        <v>21.434609346697258</v>
      </c>
      <c r="L96" s="3">
        <v>11</v>
      </c>
      <c r="M96" s="3">
        <v>29</v>
      </c>
      <c r="N96" s="3">
        <v>67</v>
      </c>
      <c r="O96" s="3">
        <v>16</v>
      </c>
      <c r="P96" s="3">
        <v>10</v>
      </c>
      <c r="Q96" s="3" t="s">
        <v>218</v>
      </c>
      <c r="R96" s="3">
        <v>78</v>
      </c>
      <c r="S96" s="3">
        <v>26</v>
      </c>
      <c r="T96" s="3">
        <v>754</v>
      </c>
      <c r="U96" s="3">
        <v>469</v>
      </c>
      <c r="V96" s="3">
        <v>217</v>
      </c>
      <c r="W96" s="3">
        <v>44</v>
      </c>
      <c r="X96" s="3">
        <v>76.140350877192986</v>
      </c>
      <c r="Y96" s="3">
        <v>4.9318181818181817</v>
      </c>
    </row>
    <row r="97" spans="1:25">
      <c r="A97" s="3" t="s">
        <v>219</v>
      </c>
      <c r="B97" s="3">
        <v>0</v>
      </c>
      <c r="C97" s="3">
        <v>1</v>
      </c>
      <c r="D97" s="3">
        <v>1</v>
      </c>
      <c r="E97" s="3">
        <v>1</v>
      </c>
      <c r="F97" s="3">
        <v>0</v>
      </c>
      <c r="G97" s="3">
        <v>1</v>
      </c>
      <c r="H97" s="3">
        <v>36</v>
      </c>
      <c r="I97" s="3">
        <v>177</v>
      </c>
      <c r="J97" s="3">
        <v>67</v>
      </c>
      <c r="K97" s="3">
        <v>21.385936352899868</v>
      </c>
      <c r="L97" s="3">
        <v>14</v>
      </c>
      <c r="M97" s="3">
        <v>35</v>
      </c>
      <c r="N97" s="3">
        <v>67</v>
      </c>
      <c r="O97" s="3">
        <v>25</v>
      </c>
      <c r="P97" s="3">
        <v>37</v>
      </c>
      <c r="Q97" s="3" t="s">
        <v>220</v>
      </c>
      <c r="R97" s="3">
        <v>70</v>
      </c>
      <c r="S97" s="3">
        <v>43</v>
      </c>
      <c r="T97" s="3">
        <v>2128</v>
      </c>
      <c r="U97" s="3">
        <v>1143</v>
      </c>
      <c r="V97" s="3">
        <v>639</v>
      </c>
      <c r="W97" s="3">
        <v>278</v>
      </c>
      <c r="X97" s="3">
        <v>64.873096446700501</v>
      </c>
      <c r="Y97" s="3">
        <v>2.2985611510791366</v>
      </c>
    </row>
    <row r="98" spans="1:25">
      <c r="A98" s="3" t="s">
        <v>221</v>
      </c>
      <c r="B98" s="3">
        <v>0</v>
      </c>
      <c r="C98" s="3">
        <v>1</v>
      </c>
      <c r="D98" s="3">
        <v>0</v>
      </c>
      <c r="E98" s="3">
        <v>1</v>
      </c>
      <c r="F98" s="3">
        <v>1</v>
      </c>
      <c r="G98" s="3">
        <v>1</v>
      </c>
      <c r="H98" s="3">
        <v>50</v>
      </c>
      <c r="I98" s="3">
        <v>157</v>
      </c>
      <c r="J98" s="3">
        <v>54</v>
      </c>
      <c r="K98" s="3">
        <v>21.907582457706194</v>
      </c>
      <c r="L98" s="3">
        <v>4</v>
      </c>
      <c r="M98" s="3">
        <v>14</v>
      </c>
      <c r="N98" s="3">
        <v>56</v>
      </c>
      <c r="O98" s="3">
        <v>12</v>
      </c>
      <c r="P98" s="3">
        <v>16</v>
      </c>
      <c r="Q98" s="3" t="s">
        <v>222</v>
      </c>
      <c r="R98" s="3">
        <v>61</v>
      </c>
      <c r="S98" s="3">
        <v>39</v>
      </c>
      <c r="T98" s="3">
        <v>1534</v>
      </c>
      <c r="U98" s="3">
        <v>870</v>
      </c>
      <c r="V98" s="3">
        <v>189</v>
      </c>
      <c r="W98" s="3">
        <v>387</v>
      </c>
      <c r="X98" s="3">
        <f xml:space="preserve"> 100*V98/(T98-U98)</f>
        <v>28.463855421686748</v>
      </c>
      <c r="Y98" s="3">
        <f>V98/W98</f>
        <v>0.48837209302325579</v>
      </c>
    </row>
    <row r="99" spans="1:25">
      <c r="A99" s="3" t="s">
        <v>223</v>
      </c>
      <c r="B99" s="3">
        <v>1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53</v>
      </c>
      <c r="I99" s="3">
        <v>156</v>
      </c>
      <c r="J99" s="3">
        <v>60</v>
      </c>
      <c r="K99" s="3">
        <v>24.654832347140037</v>
      </c>
      <c r="L99" s="3">
        <v>2</v>
      </c>
      <c r="M99" s="3">
        <v>28</v>
      </c>
      <c r="N99" s="3">
        <v>59</v>
      </c>
      <c r="O99" s="3">
        <v>9</v>
      </c>
      <c r="P99" s="3">
        <v>2</v>
      </c>
      <c r="Q99" s="3" t="s">
        <v>224</v>
      </c>
      <c r="R99" s="3">
        <v>69</v>
      </c>
      <c r="S99" s="3">
        <v>40</v>
      </c>
      <c r="T99" s="3">
        <v>1670</v>
      </c>
      <c r="U99" s="3">
        <v>1090</v>
      </c>
      <c r="V99" s="3">
        <v>423</v>
      </c>
      <c r="W99" s="3">
        <v>120</v>
      </c>
      <c r="X99" s="3">
        <v>72.931034482758619</v>
      </c>
      <c r="Y99" s="3">
        <v>3.5249999999999999</v>
      </c>
    </row>
    <row r="100" spans="1:25">
      <c r="A100" s="3" t="s">
        <v>225</v>
      </c>
      <c r="B100" s="3">
        <v>1</v>
      </c>
      <c r="C100" s="3">
        <v>0</v>
      </c>
      <c r="D100" s="3">
        <v>0</v>
      </c>
      <c r="E100" s="3">
        <v>0</v>
      </c>
      <c r="F100" s="3">
        <v>0</v>
      </c>
      <c r="G100" s="3">
        <v>1</v>
      </c>
      <c r="H100" s="3">
        <v>52</v>
      </c>
      <c r="I100" s="3">
        <v>170</v>
      </c>
      <c r="J100" s="3">
        <v>79</v>
      </c>
      <c r="K100" s="3">
        <v>27.335640138408309</v>
      </c>
      <c r="L100" s="3">
        <v>4</v>
      </c>
      <c r="M100" s="3">
        <v>18</v>
      </c>
      <c r="N100" s="3">
        <v>67</v>
      </c>
      <c r="O100" s="3">
        <v>9</v>
      </c>
      <c r="P100" s="3">
        <v>4</v>
      </c>
      <c r="Q100" s="3" t="s">
        <v>226</v>
      </c>
      <c r="R100" s="3">
        <v>72</v>
      </c>
      <c r="S100" s="3">
        <v>21</v>
      </c>
      <c r="T100" s="3">
        <v>601</v>
      </c>
      <c r="U100" s="3">
        <v>362</v>
      </c>
      <c r="V100" s="3">
        <v>184</v>
      </c>
      <c r="W100" s="3">
        <v>41</v>
      </c>
      <c r="X100" s="3">
        <v>76.987447698744774</v>
      </c>
      <c r="Y100" s="3">
        <v>4.4878048780487809</v>
      </c>
    </row>
    <row r="101" spans="1:25">
      <c r="A101" s="3" t="s">
        <v>227</v>
      </c>
      <c r="B101" s="3">
        <v>1</v>
      </c>
      <c r="C101" s="3">
        <v>0</v>
      </c>
      <c r="D101" s="3">
        <v>0</v>
      </c>
      <c r="E101" s="3">
        <v>0</v>
      </c>
      <c r="F101" s="3">
        <v>0</v>
      </c>
      <c r="G101" s="3">
        <v>1</v>
      </c>
      <c r="H101" s="3">
        <v>59</v>
      </c>
      <c r="I101" s="3">
        <v>163.5</v>
      </c>
      <c r="J101" s="3">
        <v>55</v>
      </c>
      <c r="K101" s="3">
        <v>20.574399835404801</v>
      </c>
      <c r="L101" s="3">
        <v>9</v>
      </c>
      <c r="M101" s="3">
        <v>29</v>
      </c>
      <c r="N101" s="3">
        <v>91</v>
      </c>
      <c r="O101" s="3">
        <v>11</v>
      </c>
      <c r="P101" s="3">
        <v>16</v>
      </c>
      <c r="Q101" s="3" t="s">
        <v>228</v>
      </c>
      <c r="R101" s="3">
        <v>84</v>
      </c>
      <c r="S101" s="3">
        <v>14</v>
      </c>
      <c r="T101" s="3">
        <v>215</v>
      </c>
      <c r="U101" s="3">
        <v>182</v>
      </c>
      <c r="V101" s="3">
        <v>21</v>
      </c>
      <c r="W101" s="3">
        <v>8</v>
      </c>
      <c r="X101" s="3">
        <v>63.636363636363633</v>
      </c>
      <c r="Y101" s="3">
        <v>2.625</v>
      </c>
    </row>
    <row r="102" spans="1:25">
      <c r="A102" s="3" t="s">
        <v>229</v>
      </c>
      <c r="B102" s="3">
        <v>1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52</v>
      </c>
      <c r="I102" s="3">
        <v>160</v>
      </c>
      <c r="J102" s="3">
        <v>73</v>
      </c>
      <c r="K102" s="3">
        <v>28.515624999999993</v>
      </c>
      <c r="L102" s="3">
        <v>14</v>
      </c>
      <c r="M102" s="3">
        <v>14</v>
      </c>
      <c r="N102" s="3">
        <v>69</v>
      </c>
      <c r="O102" s="3">
        <v>9</v>
      </c>
      <c r="P102" s="3">
        <v>14</v>
      </c>
      <c r="Q102" s="3" t="s">
        <v>230</v>
      </c>
      <c r="R102" s="3">
        <v>75</v>
      </c>
      <c r="S102" s="3">
        <v>48</v>
      </c>
      <c r="T102" s="3">
        <v>2567</v>
      </c>
      <c r="U102" s="3">
        <v>1748</v>
      </c>
      <c r="V102" s="3">
        <v>672</v>
      </c>
      <c r="W102" s="3">
        <v>113</v>
      </c>
      <c r="X102" s="3">
        <v>82.051282051282058</v>
      </c>
      <c r="Y102" s="3">
        <v>5.946902654867257</v>
      </c>
    </row>
    <row r="103" spans="1:25">
      <c r="A103" s="3" t="s">
        <v>231</v>
      </c>
      <c r="B103" s="3">
        <v>1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56</v>
      </c>
      <c r="I103" s="3">
        <v>153</v>
      </c>
      <c r="J103" s="3">
        <v>52</v>
      </c>
      <c r="K103" s="3">
        <v>22.213678499722331</v>
      </c>
      <c r="L103" s="3">
        <v>5</v>
      </c>
      <c r="M103" s="3">
        <v>7</v>
      </c>
      <c r="N103" s="3">
        <v>57</v>
      </c>
      <c r="O103" s="3">
        <v>4</v>
      </c>
      <c r="P103" s="3">
        <v>3</v>
      </c>
      <c r="Q103" s="3" t="s">
        <v>232</v>
      </c>
      <c r="R103" s="3">
        <v>55</v>
      </c>
      <c r="S103" s="3">
        <v>59</v>
      </c>
      <c r="T103" s="3">
        <v>3228</v>
      </c>
      <c r="U103" s="3">
        <v>1608</v>
      </c>
      <c r="V103" s="3">
        <v>697</v>
      </c>
      <c r="W103" s="3">
        <v>796</v>
      </c>
      <c r="X103" s="3">
        <v>43.02469135802469</v>
      </c>
      <c r="Y103" s="3">
        <v>0.87562814070351758</v>
      </c>
    </row>
    <row r="104" spans="1:25">
      <c r="A104" s="3" t="s">
        <v>233</v>
      </c>
      <c r="B104" s="3">
        <v>1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48</v>
      </c>
      <c r="I104" s="3">
        <v>151</v>
      </c>
      <c r="J104" s="3">
        <v>67</v>
      </c>
      <c r="K104" s="3">
        <v>29.384676110696898</v>
      </c>
      <c r="L104" s="3">
        <v>8</v>
      </c>
      <c r="M104" s="3">
        <v>27</v>
      </c>
      <c r="N104" s="3">
        <v>66</v>
      </c>
      <c r="O104" s="3">
        <v>8</v>
      </c>
      <c r="P104" s="3">
        <v>11</v>
      </c>
      <c r="Q104" s="3" t="s">
        <v>234</v>
      </c>
      <c r="R104" s="3">
        <v>73</v>
      </c>
      <c r="S104" s="3">
        <v>36</v>
      </c>
      <c r="T104" s="3">
        <v>1298</v>
      </c>
      <c r="U104" s="3">
        <v>547</v>
      </c>
      <c r="V104" s="3">
        <v>302</v>
      </c>
      <c r="W104" s="3">
        <v>312</v>
      </c>
      <c r="X104" s="3">
        <v>40.213049267643143</v>
      </c>
      <c r="Y104" s="3">
        <v>0.96794871794871795</v>
      </c>
    </row>
    <row r="105" spans="1:25">
      <c r="A105" s="3" t="s">
        <v>235</v>
      </c>
      <c r="B105" s="3">
        <v>1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58</v>
      </c>
      <c r="I105" s="3">
        <v>150</v>
      </c>
      <c r="J105" s="3">
        <v>43</v>
      </c>
      <c r="K105" s="3">
        <v>19.111111111111111</v>
      </c>
      <c r="L105" s="3">
        <v>7</v>
      </c>
      <c r="M105" s="3">
        <v>4</v>
      </c>
      <c r="N105" s="3">
        <v>46</v>
      </c>
      <c r="O105" s="3">
        <v>3</v>
      </c>
      <c r="P105" s="3">
        <v>1</v>
      </c>
      <c r="Q105" s="3" t="s">
        <v>236</v>
      </c>
      <c r="R105" s="3">
        <v>74</v>
      </c>
      <c r="S105" s="3">
        <v>33</v>
      </c>
      <c r="T105" s="3">
        <v>1030</v>
      </c>
      <c r="U105" s="3">
        <v>236</v>
      </c>
      <c r="V105" s="3">
        <v>347</v>
      </c>
      <c r="W105" s="3">
        <v>365</v>
      </c>
      <c r="X105" s="3">
        <v>43.702770780856426</v>
      </c>
      <c r="Y105" s="3">
        <v>0.9506849315068493</v>
      </c>
    </row>
    <row r="106" spans="1:25">
      <c r="A106" s="3" t="s">
        <v>237</v>
      </c>
      <c r="B106" s="3">
        <v>1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47</v>
      </c>
      <c r="I106" s="3">
        <v>170</v>
      </c>
      <c r="J106" s="3">
        <v>55</v>
      </c>
      <c r="K106" s="3">
        <v>19.031141868512112</v>
      </c>
      <c r="L106" s="3">
        <v>1</v>
      </c>
      <c r="M106" s="3">
        <v>10</v>
      </c>
      <c r="N106" s="3">
        <v>49</v>
      </c>
      <c r="O106" s="3">
        <v>2</v>
      </c>
      <c r="P106" s="3">
        <v>0</v>
      </c>
      <c r="Q106" s="3" t="s">
        <v>238</v>
      </c>
      <c r="R106" s="3">
        <v>75</v>
      </c>
      <c r="S106" s="3">
        <v>32</v>
      </c>
      <c r="T106" s="3">
        <v>983</v>
      </c>
      <c r="U106" s="3">
        <v>554</v>
      </c>
      <c r="V106" s="3">
        <v>146</v>
      </c>
      <c r="W106" s="3">
        <v>102</v>
      </c>
      <c r="X106" s="3">
        <v>34.032634032634036</v>
      </c>
      <c r="Y106" s="3">
        <v>1.4313725490196079</v>
      </c>
    </row>
    <row r="107" spans="1:25">
      <c r="A107" s="3" t="s">
        <v>239</v>
      </c>
      <c r="B107" s="3">
        <v>1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46</v>
      </c>
      <c r="I107" s="3">
        <v>164</v>
      </c>
      <c r="J107" s="3">
        <v>75</v>
      </c>
      <c r="K107" s="3">
        <v>27.885187388459254</v>
      </c>
      <c r="L107" s="3">
        <v>7</v>
      </c>
      <c r="M107" s="3">
        <v>24</v>
      </c>
      <c r="N107" s="3">
        <v>59</v>
      </c>
      <c r="O107" s="3">
        <v>12</v>
      </c>
      <c r="P107" s="3">
        <v>13</v>
      </c>
      <c r="Q107" s="3" t="s">
        <v>240</v>
      </c>
      <c r="R107" s="3">
        <v>59</v>
      </c>
      <c r="S107" s="3">
        <v>25</v>
      </c>
      <c r="T107" s="3">
        <v>584</v>
      </c>
      <c r="U107" s="3">
        <v>329</v>
      </c>
      <c r="V107" s="3">
        <v>117</v>
      </c>
      <c r="W107" s="3">
        <v>115</v>
      </c>
      <c r="X107" s="3">
        <v>45.882352941176471</v>
      </c>
      <c r="Y107" s="3">
        <v>1.017391304347826</v>
      </c>
    </row>
    <row r="108" spans="1:25">
      <c r="A108" s="3" t="s">
        <v>241</v>
      </c>
      <c r="B108" s="3">
        <v>1</v>
      </c>
      <c r="C108" s="3">
        <v>0</v>
      </c>
      <c r="D108" s="3">
        <v>0</v>
      </c>
      <c r="E108" s="3">
        <v>0</v>
      </c>
      <c r="F108" s="3">
        <v>0</v>
      </c>
      <c r="G108" s="3">
        <v>1</v>
      </c>
      <c r="H108" s="3">
        <v>37</v>
      </c>
      <c r="I108" s="3">
        <v>162</v>
      </c>
      <c r="J108" s="3">
        <v>90</v>
      </c>
      <c r="K108" s="3">
        <v>34.293552812071326</v>
      </c>
      <c r="L108" s="3">
        <v>2</v>
      </c>
      <c r="M108" s="3">
        <v>13</v>
      </c>
      <c r="N108" s="3">
        <v>68</v>
      </c>
      <c r="O108" s="3">
        <v>3</v>
      </c>
      <c r="P108" s="3">
        <v>1</v>
      </c>
      <c r="Q108" s="3" t="s">
        <v>242</v>
      </c>
      <c r="R108" s="3">
        <v>63</v>
      </c>
      <c r="S108" s="3">
        <v>52</v>
      </c>
      <c r="T108" s="3">
        <v>2646</v>
      </c>
      <c r="U108" s="3">
        <v>1193</v>
      </c>
      <c r="V108" s="3">
        <v>605</v>
      </c>
      <c r="W108" s="3">
        <v>766</v>
      </c>
      <c r="X108" s="3">
        <v>41.637990364762558</v>
      </c>
      <c r="Y108" s="3">
        <v>0.78981723237597912</v>
      </c>
    </row>
    <row r="109" spans="1:25">
      <c r="A109" s="3" t="s">
        <v>243</v>
      </c>
      <c r="B109" s="3">
        <v>1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23</v>
      </c>
      <c r="I109" s="3">
        <v>170</v>
      </c>
      <c r="J109" s="3">
        <v>75</v>
      </c>
      <c r="K109" s="3">
        <v>25.95155709342561</v>
      </c>
      <c r="L109" s="3">
        <v>0</v>
      </c>
      <c r="M109" s="3">
        <v>0</v>
      </c>
      <c r="N109" s="3">
        <v>16</v>
      </c>
      <c r="O109" s="3">
        <v>0</v>
      </c>
      <c r="P109" s="3">
        <v>0</v>
      </c>
      <c r="Q109" s="3" t="s">
        <v>244</v>
      </c>
      <c r="R109" s="3">
        <v>88</v>
      </c>
      <c r="S109" s="3">
        <v>38</v>
      </c>
      <c r="T109" s="3">
        <v>1507</v>
      </c>
      <c r="U109" s="3">
        <v>710</v>
      </c>
      <c r="V109" s="3">
        <v>523</v>
      </c>
      <c r="W109" s="3">
        <v>241</v>
      </c>
      <c r="X109" s="3">
        <v>65.621079046424086</v>
      </c>
      <c r="Y109" s="3">
        <v>2.1701244813278007</v>
      </c>
    </row>
    <row r="110" spans="1:25">
      <c r="A110" s="3" t="s">
        <v>245</v>
      </c>
      <c r="B110" s="3">
        <v>1</v>
      </c>
      <c r="C110" s="3">
        <v>0</v>
      </c>
      <c r="D110" s="3">
        <v>0</v>
      </c>
      <c r="E110" s="3">
        <v>0</v>
      </c>
      <c r="F110" s="3">
        <v>0</v>
      </c>
      <c r="G110" s="3">
        <v>1</v>
      </c>
      <c r="H110" s="3">
        <v>36</v>
      </c>
      <c r="I110" s="3">
        <v>180</v>
      </c>
      <c r="J110" s="3">
        <v>114</v>
      </c>
      <c r="K110" s="3">
        <v>35.185185185185183</v>
      </c>
      <c r="L110" s="3">
        <v>1</v>
      </c>
      <c r="M110" s="3">
        <v>11</v>
      </c>
      <c r="N110" s="3">
        <v>70</v>
      </c>
      <c r="O110" s="3">
        <v>0</v>
      </c>
      <c r="P110" s="3">
        <v>0</v>
      </c>
      <c r="Q110" s="3" t="s">
        <v>246</v>
      </c>
      <c r="R110" s="3">
        <v>74</v>
      </c>
      <c r="S110" s="3">
        <v>19</v>
      </c>
      <c r="T110" s="3">
        <v>430</v>
      </c>
      <c r="U110" s="3">
        <v>267</v>
      </c>
      <c r="V110" s="3">
        <v>140</v>
      </c>
      <c r="W110" s="3">
        <v>13</v>
      </c>
      <c r="X110" s="3">
        <v>85.889570552147234</v>
      </c>
      <c r="Y110" s="3">
        <v>10.76923076923077</v>
      </c>
    </row>
    <row r="111" spans="1:25">
      <c r="A111" s="3" t="s">
        <v>247</v>
      </c>
      <c r="B111" s="3">
        <v>1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60</v>
      </c>
      <c r="I111" s="3">
        <v>160</v>
      </c>
      <c r="J111" s="3">
        <v>49</v>
      </c>
      <c r="K111" s="3">
        <v>19.140624999999996</v>
      </c>
      <c r="L111" s="3">
        <v>2</v>
      </c>
      <c r="M111" s="3">
        <v>1</v>
      </c>
      <c r="N111" s="3">
        <v>56</v>
      </c>
      <c r="O111" s="3">
        <v>8</v>
      </c>
      <c r="P111" s="3">
        <v>0</v>
      </c>
      <c r="Q111" s="3" t="s">
        <v>248</v>
      </c>
      <c r="R111" s="3">
        <v>71</v>
      </c>
      <c r="S111" s="3">
        <v>46</v>
      </c>
      <c r="T111" s="3">
        <v>2061</v>
      </c>
      <c r="U111" s="3">
        <v>1384</v>
      </c>
      <c r="V111" s="3">
        <v>448</v>
      </c>
      <c r="W111" s="3">
        <v>195</v>
      </c>
      <c r="X111" s="3">
        <v>66.174298375184634</v>
      </c>
      <c r="Y111" s="3">
        <v>2.2974358974358973</v>
      </c>
    </row>
    <row r="112" spans="1:25">
      <c r="A112" s="3" t="s">
        <v>249</v>
      </c>
      <c r="B112" s="3">
        <v>1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48</v>
      </c>
      <c r="I112" s="3">
        <v>158</v>
      </c>
      <c r="J112" s="3">
        <v>59</v>
      </c>
      <c r="K112" s="3">
        <v>23.634033007530842</v>
      </c>
      <c r="L112" s="3">
        <v>2</v>
      </c>
      <c r="M112" s="3">
        <v>4</v>
      </c>
      <c r="N112" s="3">
        <v>47</v>
      </c>
      <c r="O112" s="3">
        <v>0</v>
      </c>
      <c r="P112" s="3">
        <v>3</v>
      </c>
      <c r="Q112" s="3" t="s">
        <v>250</v>
      </c>
      <c r="R112" s="3">
        <v>83</v>
      </c>
      <c r="S112" s="3">
        <v>17</v>
      </c>
      <c r="T112" s="3">
        <v>343</v>
      </c>
      <c r="U112" s="3">
        <v>265</v>
      </c>
      <c r="V112" s="3">
        <v>46</v>
      </c>
      <c r="W112" s="3">
        <v>21</v>
      </c>
      <c r="X112" s="3">
        <v>58.974358974358971</v>
      </c>
      <c r="Y112" s="3">
        <v>2.1904761904761907</v>
      </c>
    </row>
    <row r="113" spans="1:25">
      <c r="A113" s="3" t="s">
        <v>251</v>
      </c>
      <c r="B113" s="3">
        <v>1</v>
      </c>
      <c r="C113" s="3">
        <v>0</v>
      </c>
      <c r="D113" s="3">
        <v>0</v>
      </c>
      <c r="E113" s="3">
        <v>0</v>
      </c>
      <c r="F113" s="3">
        <v>0</v>
      </c>
      <c r="G113" s="3">
        <v>1</v>
      </c>
      <c r="H113" s="3">
        <v>54</v>
      </c>
      <c r="I113" s="3">
        <v>169</v>
      </c>
      <c r="J113" s="3">
        <v>68</v>
      </c>
      <c r="K113" s="3">
        <v>23.808690171912751</v>
      </c>
      <c r="L113" s="3">
        <v>2</v>
      </c>
      <c r="M113" s="3">
        <v>14</v>
      </c>
      <c r="N113" s="3">
        <v>59</v>
      </c>
      <c r="O113" s="3">
        <v>3</v>
      </c>
      <c r="P113" s="3">
        <v>2</v>
      </c>
      <c r="Q113" s="3" t="s">
        <v>252</v>
      </c>
      <c r="R113" s="3">
        <v>64</v>
      </c>
      <c r="S113" s="3">
        <v>19</v>
      </c>
      <c r="T113" s="3">
        <v>387</v>
      </c>
      <c r="U113" s="3">
        <v>177</v>
      </c>
      <c r="V113" s="3">
        <v>72</v>
      </c>
      <c r="W113" s="3">
        <v>109</v>
      </c>
      <c r="X113" s="3">
        <v>34.285714285714285</v>
      </c>
      <c r="Y113" s="3">
        <v>0.66055045871559637</v>
      </c>
    </row>
    <row r="114" spans="1:25">
      <c r="A114" s="3" t="s">
        <v>253</v>
      </c>
      <c r="B114" s="3">
        <v>1</v>
      </c>
      <c r="C114" s="3">
        <v>0</v>
      </c>
      <c r="D114" s="3">
        <v>0</v>
      </c>
      <c r="E114" s="3">
        <v>0</v>
      </c>
      <c r="F114" s="3">
        <v>0</v>
      </c>
      <c r="G114" s="3">
        <v>1</v>
      </c>
      <c r="H114" s="3">
        <v>42</v>
      </c>
      <c r="I114" s="3">
        <v>168</v>
      </c>
      <c r="J114" s="3">
        <v>70</v>
      </c>
      <c r="K114" s="3">
        <v>24.801587301587304</v>
      </c>
      <c r="L114" s="3">
        <v>11</v>
      </c>
      <c r="M114" s="3">
        <v>2</v>
      </c>
      <c r="N114" s="3">
        <v>61</v>
      </c>
      <c r="O114" s="3">
        <v>6</v>
      </c>
      <c r="P114" s="3">
        <v>6</v>
      </c>
      <c r="Q114" s="3" t="s">
        <v>254</v>
      </c>
      <c r="R114" s="3">
        <v>65</v>
      </c>
      <c r="S114" s="3">
        <v>50</v>
      </c>
      <c r="T114" s="3">
        <v>2561</v>
      </c>
      <c r="U114" s="3">
        <v>1131</v>
      </c>
      <c r="V114" s="3">
        <v>900</v>
      </c>
      <c r="W114" s="3">
        <v>455</v>
      </c>
      <c r="X114" s="3">
        <v>62.93706293706294</v>
      </c>
      <c r="Y114" s="3">
        <v>1.9780219780219781</v>
      </c>
    </row>
    <row r="115" spans="1:25">
      <c r="A115" s="3" t="s">
        <v>255</v>
      </c>
      <c r="B115" s="3">
        <v>0</v>
      </c>
      <c r="C115" s="3">
        <v>1</v>
      </c>
      <c r="D115" s="3">
        <v>0</v>
      </c>
      <c r="E115" s="3">
        <v>1</v>
      </c>
      <c r="F115" s="3">
        <v>0</v>
      </c>
      <c r="G115" s="3">
        <v>0</v>
      </c>
      <c r="H115" s="3">
        <v>47</v>
      </c>
      <c r="I115" s="3">
        <v>156</v>
      </c>
      <c r="J115" s="3">
        <v>52</v>
      </c>
      <c r="K115" s="3">
        <v>21.367521367521366</v>
      </c>
      <c r="L115" s="3">
        <v>15</v>
      </c>
      <c r="M115" s="3">
        <v>16</v>
      </c>
      <c r="N115" s="3">
        <v>57</v>
      </c>
      <c r="O115" s="3">
        <v>17</v>
      </c>
      <c r="P115" s="3">
        <v>21</v>
      </c>
      <c r="Q115" s="3" t="s">
        <v>256</v>
      </c>
      <c r="R115" s="3">
        <v>95</v>
      </c>
      <c r="S115" s="3">
        <v>15</v>
      </c>
      <c r="T115" s="3">
        <v>251</v>
      </c>
      <c r="U115" s="3">
        <v>133</v>
      </c>
      <c r="V115" s="3">
        <v>85</v>
      </c>
      <c r="W115" s="3">
        <v>26</v>
      </c>
      <c r="X115" s="3">
        <v>72.033898305084747</v>
      </c>
      <c r="Y115" s="3">
        <v>3.2692307692307692</v>
      </c>
    </row>
    <row r="116" spans="1:25">
      <c r="A116" s="3" t="s">
        <v>257</v>
      </c>
      <c r="B116" s="3">
        <v>0</v>
      </c>
      <c r="C116" s="3">
        <v>1</v>
      </c>
      <c r="D116" s="3">
        <v>0</v>
      </c>
      <c r="E116" s="3">
        <v>0</v>
      </c>
      <c r="F116" s="3">
        <v>0</v>
      </c>
      <c r="G116" s="3">
        <v>0</v>
      </c>
      <c r="H116" s="3">
        <v>49</v>
      </c>
      <c r="I116" s="3">
        <v>153</v>
      </c>
      <c r="J116" s="3">
        <v>51</v>
      </c>
      <c r="K116" s="3">
        <v>21.786492374727668</v>
      </c>
      <c r="L116" s="3">
        <v>12</v>
      </c>
      <c r="M116" s="3">
        <v>32</v>
      </c>
      <c r="N116" s="3">
        <v>64</v>
      </c>
      <c r="O116" s="3">
        <v>17</v>
      </c>
      <c r="P116" s="3">
        <v>19</v>
      </c>
      <c r="Q116" s="3" t="s">
        <v>258</v>
      </c>
      <c r="R116" s="3">
        <v>92</v>
      </c>
      <c r="S116" s="3">
        <v>25</v>
      </c>
      <c r="T116" s="3">
        <v>705</v>
      </c>
      <c r="U116" s="3">
        <v>216</v>
      </c>
      <c r="V116" s="3">
        <v>316</v>
      </c>
      <c r="W116" s="3">
        <v>142</v>
      </c>
      <c r="X116" s="3">
        <v>64.621676891615536</v>
      </c>
      <c r="Y116" s="3">
        <v>2.2253521126760565</v>
      </c>
    </row>
    <row r="117" spans="1:25" s="4" customFormat="1">
      <c r="A117" s="4" t="s">
        <v>259</v>
      </c>
      <c r="B117" s="3">
        <v>0</v>
      </c>
      <c r="C117" s="4">
        <v>0</v>
      </c>
      <c r="D117" s="4">
        <v>1</v>
      </c>
      <c r="E117" s="4">
        <v>0</v>
      </c>
      <c r="F117" s="4">
        <v>0</v>
      </c>
      <c r="G117" s="4">
        <v>1</v>
      </c>
      <c r="H117" s="4">
        <v>20</v>
      </c>
      <c r="I117" s="4">
        <v>174</v>
      </c>
      <c r="J117" s="4">
        <v>74</v>
      </c>
      <c r="K117" s="4">
        <v>24.441802087462015</v>
      </c>
      <c r="L117" s="4">
        <v>5</v>
      </c>
      <c r="M117" s="4">
        <v>12</v>
      </c>
      <c r="N117" s="4">
        <v>54</v>
      </c>
      <c r="O117" s="4">
        <v>0</v>
      </c>
      <c r="P117" s="4">
        <v>6</v>
      </c>
      <c r="Q117" s="3" t="s">
        <v>260</v>
      </c>
      <c r="R117" s="4">
        <v>88</v>
      </c>
      <c r="S117" s="4">
        <v>53</v>
      </c>
      <c r="T117" s="4">
        <v>2978</v>
      </c>
      <c r="U117" s="4">
        <v>1488</v>
      </c>
      <c r="V117" s="4">
        <v>1065</v>
      </c>
      <c r="W117" s="4">
        <v>333</v>
      </c>
      <c r="X117" s="4">
        <v>71.476510067114091</v>
      </c>
      <c r="Y117" s="4">
        <v>3.1981981981981984</v>
      </c>
    </row>
    <row r="118" spans="1:25">
      <c r="A118" s="3" t="s">
        <v>261</v>
      </c>
      <c r="B118" s="3">
        <v>0</v>
      </c>
      <c r="C118" s="3">
        <v>1</v>
      </c>
      <c r="D118" s="3">
        <v>1</v>
      </c>
      <c r="E118" s="3">
        <v>0</v>
      </c>
      <c r="F118" s="3">
        <v>0</v>
      </c>
      <c r="G118" s="3">
        <v>1</v>
      </c>
      <c r="H118" s="3">
        <v>30</v>
      </c>
      <c r="I118" s="3">
        <v>180</v>
      </c>
      <c r="J118" s="3">
        <v>91</v>
      </c>
      <c r="K118" s="3">
        <v>28.086419753086417</v>
      </c>
      <c r="L118" s="3">
        <v>11</v>
      </c>
      <c r="M118" s="3">
        <v>46</v>
      </c>
      <c r="N118" s="3">
        <v>58</v>
      </c>
      <c r="O118" s="3">
        <v>6</v>
      </c>
      <c r="P118" s="3">
        <v>11</v>
      </c>
      <c r="Q118" s="3" t="s">
        <v>262</v>
      </c>
      <c r="R118" s="3">
        <v>76</v>
      </c>
      <c r="S118" s="3">
        <v>262</v>
      </c>
      <c r="T118" s="3">
        <v>41015</v>
      </c>
      <c r="U118" s="3">
        <v>12132</v>
      </c>
      <c r="V118" s="3">
        <v>7070</v>
      </c>
      <c r="W118" s="3">
        <v>10978</v>
      </c>
      <c r="X118" s="3">
        <v>24.478066682823805</v>
      </c>
      <c r="Y118" s="3">
        <v>0.64401530333394064</v>
      </c>
    </row>
    <row r="119" spans="1:25">
      <c r="A119" s="3" t="s">
        <v>263</v>
      </c>
      <c r="B119" s="3">
        <v>0</v>
      </c>
      <c r="C119" s="3">
        <v>0</v>
      </c>
      <c r="D119" s="3">
        <v>0</v>
      </c>
      <c r="E119" s="3">
        <v>1</v>
      </c>
      <c r="F119" s="3">
        <v>0</v>
      </c>
      <c r="G119" s="3">
        <v>0</v>
      </c>
      <c r="H119" s="3">
        <v>45</v>
      </c>
      <c r="I119" s="3">
        <v>166</v>
      </c>
      <c r="J119" s="3">
        <v>56</v>
      </c>
      <c r="K119" s="3">
        <v>20.322252866889244</v>
      </c>
      <c r="L119" s="3">
        <v>18</v>
      </c>
      <c r="M119" s="3">
        <v>50</v>
      </c>
      <c r="N119" s="3">
        <v>72</v>
      </c>
      <c r="O119" s="3">
        <v>37</v>
      </c>
      <c r="P119" s="3">
        <v>36</v>
      </c>
      <c r="Q119" s="3" t="s">
        <v>264</v>
      </c>
      <c r="R119" s="3">
        <v>75</v>
      </c>
      <c r="S119" s="3">
        <v>27</v>
      </c>
      <c r="T119" s="3">
        <v>709</v>
      </c>
      <c r="U119" s="3">
        <v>480</v>
      </c>
      <c r="V119" s="3">
        <v>154</v>
      </c>
      <c r="W119" s="3">
        <v>52</v>
      </c>
      <c r="X119" s="3">
        <v>67.248908296943227</v>
      </c>
      <c r="Y119" s="3">
        <v>2.9615384615384617</v>
      </c>
    </row>
    <row r="120" spans="1:25" s="4" customFormat="1">
      <c r="A120" s="4" t="s">
        <v>265</v>
      </c>
      <c r="B120" s="3">
        <v>0</v>
      </c>
      <c r="C120" s="4">
        <v>0</v>
      </c>
      <c r="D120" s="4">
        <v>0</v>
      </c>
      <c r="E120" s="4">
        <v>0</v>
      </c>
      <c r="F120" s="4">
        <v>1</v>
      </c>
      <c r="G120" s="3">
        <v>0</v>
      </c>
      <c r="H120" s="4">
        <v>47</v>
      </c>
      <c r="I120" s="4">
        <v>164</v>
      </c>
      <c r="J120" s="4">
        <v>56</v>
      </c>
      <c r="K120" s="4">
        <v>20.820939916716245</v>
      </c>
      <c r="L120" s="4">
        <v>12</v>
      </c>
      <c r="M120" s="4">
        <v>44</v>
      </c>
      <c r="N120" s="4">
        <v>65</v>
      </c>
      <c r="O120" s="4">
        <v>24</v>
      </c>
      <c r="P120" s="4">
        <v>24</v>
      </c>
      <c r="Q120" s="3" t="s">
        <v>266</v>
      </c>
      <c r="R120" s="4">
        <v>71</v>
      </c>
      <c r="S120" s="4">
        <v>38</v>
      </c>
      <c r="T120" s="4">
        <v>1286</v>
      </c>
      <c r="U120" s="4">
        <v>410</v>
      </c>
      <c r="V120" s="4">
        <v>340</v>
      </c>
      <c r="W120" s="4">
        <v>297</v>
      </c>
      <c r="X120" s="4">
        <v>38.812785388127857</v>
      </c>
      <c r="Y120" s="4">
        <v>1.1447811447811447</v>
      </c>
    </row>
    <row r="121" spans="1:25">
      <c r="A121" s="3" t="s">
        <v>267</v>
      </c>
      <c r="B121" s="3">
        <v>0</v>
      </c>
      <c r="C121" s="3">
        <v>1</v>
      </c>
      <c r="D121" s="3">
        <v>0</v>
      </c>
      <c r="E121" s="3">
        <v>0</v>
      </c>
      <c r="F121" s="3">
        <v>0</v>
      </c>
      <c r="G121" s="3">
        <v>0</v>
      </c>
      <c r="H121" s="3">
        <v>50</v>
      </c>
      <c r="I121" s="3">
        <v>148</v>
      </c>
      <c r="J121" s="3">
        <v>43</v>
      </c>
      <c r="K121" s="3">
        <v>19.631117604090576</v>
      </c>
      <c r="L121" s="3">
        <v>8</v>
      </c>
      <c r="M121" s="3">
        <v>36</v>
      </c>
      <c r="N121" s="3">
        <v>60</v>
      </c>
      <c r="O121" s="3">
        <v>6</v>
      </c>
      <c r="P121" s="3">
        <v>11</v>
      </c>
      <c r="Q121" s="3" t="s">
        <v>268</v>
      </c>
      <c r="R121" s="3">
        <v>67</v>
      </c>
      <c r="S121" s="3">
        <v>28</v>
      </c>
      <c r="T121" s="3">
        <v>774</v>
      </c>
      <c r="U121" s="3">
        <v>527</v>
      </c>
      <c r="V121" s="3">
        <v>139</v>
      </c>
      <c r="W121" s="3">
        <v>83</v>
      </c>
      <c r="X121" s="3">
        <v>56.275303643724698</v>
      </c>
      <c r="Y121" s="3">
        <v>1.6746987951807228</v>
      </c>
    </row>
    <row r="122" spans="1:25">
      <c r="A122" s="3" t="s">
        <v>269</v>
      </c>
      <c r="B122" s="3">
        <v>0</v>
      </c>
      <c r="C122" s="3">
        <v>1</v>
      </c>
      <c r="D122" s="3">
        <v>0</v>
      </c>
      <c r="E122" s="3">
        <v>0</v>
      </c>
      <c r="F122" s="3">
        <v>1</v>
      </c>
      <c r="G122" s="3">
        <v>1</v>
      </c>
      <c r="H122" s="3">
        <v>41</v>
      </c>
      <c r="I122" s="3">
        <v>175</v>
      </c>
      <c r="J122" s="3">
        <v>74</v>
      </c>
      <c r="K122" s="3">
        <v>24.163265306122447</v>
      </c>
      <c r="L122" s="3">
        <v>8</v>
      </c>
      <c r="M122" s="3">
        <v>20</v>
      </c>
      <c r="N122" s="3">
        <v>52</v>
      </c>
      <c r="O122" s="3">
        <v>23</v>
      </c>
      <c r="P122" s="3">
        <v>18</v>
      </c>
      <c r="Q122" s="3" t="s">
        <v>270</v>
      </c>
      <c r="R122" s="3">
        <v>95</v>
      </c>
      <c r="S122" s="3">
        <v>33</v>
      </c>
      <c r="T122" s="3">
        <v>1184</v>
      </c>
      <c r="U122" s="3">
        <v>638</v>
      </c>
      <c r="V122" s="3">
        <v>291</v>
      </c>
      <c r="W122" s="3">
        <v>230</v>
      </c>
      <c r="X122" s="3">
        <v>53.296703296703299</v>
      </c>
      <c r="Y122" s="3">
        <v>1.2652173913043478</v>
      </c>
    </row>
    <row r="123" spans="1:25">
      <c r="A123" s="3" t="s">
        <v>271</v>
      </c>
      <c r="B123" s="3">
        <v>0</v>
      </c>
      <c r="C123" s="3">
        <v>1</v>
      </c>
      <c r="D123" s="3">
        <v>0</v>
      </c>
      <c r="E123" s="3">
        <v>0</v>
      </c>
      <c r="F123" s="3">
        <v>0</v>
      </c>
      <c r="G123" s="3">
        <v>1</v>
      </c>
      <c r="H123" s="3">
        <v>34</v>
      </c>
      <c r="I123" s="3">
        <v>170</v>
      </c>
      <c r="J123" s="3">
        <v>55</v>
      </c>
      <c r="K123" s="3">
        <v>19.031141868512112</v>
      </c>
      <c r="L123" s="3">
        <v>14</v>
      </c>
      <c r="M123" s="3">
        <v>42</v>
      </c>
      <c r="N123" s="3">
        <v>55</v>
      </c>
      <c r="O123" s="3">
        <v>13</v>
      </c>
      <c r="P123" s="3">
        <v>14</v>
      </c>
      <c r="Q123" s="3" t="s">
        <v>272</v>
      </c>
      <c r="R123" s="3">
        <v>94</v>
      </c>
      <c r="S123" s="3">
        <v>24</v>
      </c>
      <c r="T123" s="3">
        <v>699</v>
      </c>
      <c r="U123" s="3">
        <v>183</v>
      </c>
      <c r="V123" s="3">
        <v>455</v>
      </c>
      <c r="W123" s="3">
        <v>43</v>
      </c>
      <c r="X123" s="3">
        <v>88.178294573643413</v>
      </c>
      <c r="Y123" s="3">
        <v>10.581395348837209</v>
      </c>
    </row>
    <row r="124" spans="1:25" s="4" customFormat="1">
      <c r="A124" s="4" t="s">
        <v>273</v>
      </c>
      <c r="B124" s="3">
        <v>0</v>
      </c>
      <c r="C124" s="4">
        <v>0</v>
      </c>
      <c r="D124" s="4">
        <v>1</v>
      </c>
      <c r="E124" s="4">
        <v>0</v>
      </c>
      <c r="F124" s="4">
        <v>0</v>
      </c>
      <c r="G124" s="3">
        <v>0</v>
      </c>
      <c r="H124" s="4">
        <v>45</v>
      </c>
      <c r="I124" s="4">
        <v>163</v>
      </c>
      <c r="J124" s="4">
        <v>53</v>
      </c>
      <c r="K124" s="4">
        <v>19.948059768903612</v>
      </c>
      <c r="L124" s="4">
        <v>7</v>
      </c>
      <c r="M124" s="4">
        <v>17</v>
      </c>
      <c r="N124" s="4">
        <v>77</v>
      </c>
      <c r="O124" s="4">
        <v>13</v>
      </c>
      <c r="P124" s="4">
        <v>14</v>
      </c>
      <c r="Q124" s="3" t="s">
        <v>274</v>
      </c>
      <c r="R124" s="4">
        <v>72</v>
      </c>
      <c r="S124" s="4">
        <v>46</v>
      </c>
      <c r="T124" s="4">
        <v>1910</v>
      </c>
      <c r="U124" s="4">
        <v>623</v>
      </c>
      <c r="V124" s="4">
        <v>818</v>
      </c>
      <c r="W124" s="4">
        <v>378</v>
      </c>
      <c r="X124" s="4">
        <v>63.558663558663561</v>
      </c>
      <c r="Y124" s="4">
        <v>2.1640211640211642</v>
      </c>
    </row>
    <row r="125" spans="1:25">
      <c r="A125" s="3" t="s">
        <v>275</v>
      </c>
      <c r="B125" s="3">
        <v>0</v>
      </c>
      <c r="C125" s="3">
        <v>1</v>
      </c>
      <c r="D125" s="3">
        <v>0</v>
      </c>
      <c r="E125" s="3">
        <v>0</v>
      </c>
      <c r="F125" s="3">
        <v>0</v>
      </c>
      <c r="G125" s="3">
        <v>1</v>
      </c>
      <c r="H125" s="3">
        <v>61</v>
      </c>
      <c r="I125" s="3">
        <v>173</v>
      </c>
      <c r="J125" s="3">
        <v>56</v>
      </c>
      <c r="K125" s="3">
        <v>18.710949246550168</v>
      </c>
      <c r="L125" s="3">
        <v>2</v>
      </c>
      <c r="M125" s="3">
        <v>14</v>
      </c>
      <c r="N125" s="3">
        <v>78</v>
      </c>
      <c r="O125" s="3">
        <v>3</v>
      </c>
      <c r="P125" s="3">
        <v>8</v>
      </c>
      <c r="Q125" s="3" t="s">
        <v>276</v>
      </c>
      <c r="R125" s="3">
        <v>92</v>
      </c>
      <c r="S125" s="3">
        <v>19</v>
      </c>
      <c r="T125" s="3">
        <v>364</v>
      </c>
      <c r="U125" s="3">
        <v>143</v>
      </c>
      <c r="V125" s="3">
        <v>77</v>
      </c>
      <c r="W125" s="3">
        <v>91</v>
      </c>
      <c r="X125" s="3">
        <v>34.841628959276015</v>
      </c>
      <c r="Y125" s="3">
        <v>0.84615384615384615</v>
      </c>
    </row>
    <row r="126" spans="1:25">
      <c r="A126" s="3" t="s">
        <v>277</v>
      </c>
      <c r="B126" s="3">
        <v>0</v>
      </c>
      <c r="C126" s="3">
        <v>1</v>
      </c>
      <c r="D126" s="3">
        <v>1</v>
      </c>
      <c r="E126" s="3">
        <v>0</v>
      </c>
      <c r="F126" s="3">
        <v>0</v>
      </c>
      <c r="G126" s="3">
        <v>0</v>
      </c>
      <c r="H126" s="3">
        <v>36</v>
      </c>
      <c r="I126" s="3">
        <v>151</v>
      </c>
      <c r="J126" s="3">
        <v>62</v>
      </c>
      <c r="K126" s="3">
        <v>27.191789833779222</v>
      </c>
      <c r="L126" s="3">
        <v>14</v>
      </c>
      <c r="M126" s="3">
        <v>13</v>
      </c>
      <c r="N126" s="3">
        <v>52</v>
      </c>
      <c r="O126" s="3">
        <v>11</v>
      </c>
      <c r="P126" s="3">
        <v>21</v>
      </c>
      <c r="Q126" s="3" t="s">
        <v>278</v>
      </c>
      <c r="R126" s="3">
        <v>75</v>
      </c>
      <c r="S126" s="3">
        <v>22</v>
      </c>
      <c r="T126" s="3">
        <v>556</v>
      </c>
      <c r="U126" s="3">
        <v>281</v>
      </c>
      <c r="V126" s="3">
        <v>178</v>
      </c>
      <c r="W126" s="3">
        <v>80</v>
      </c>
      <c r="X126" s="3">
        <v>64.727272727272734</v>
      </c>
      <c r="Y126" s="3">
        <v>2.2250000000000001</v>
      </c>
    </row>
    <row r="127" spans="1:25">
      <c r="A127" s="3" t="s">
        <v>279</v>
      </c>
      <c r="B127" s="3">
        <v>0</v>
      </c>
      <c r="C127" s="3">
        <v>0</v>
      </c>
      <c r="D127" s="3">
        <v>1</v>
      </c>
      <c r="E127" s="3">
        <v>1</v>
      </c>
      <c r="F127" s="3">
        <v>0</v>
      </c>
      <c r="G127" s="3">
        <v>0</v>
      </c>
      <c r="H127" s="3">
        <v>39</v>
      </c>
      <c r="I127" s="3">
        <v>162</v>
      </c>
      <c r="J127" s="3">
        <v>90</v>
      </c>
      <c r="K127" s="3">
        <v>34.293552812071326</v>
      </c>
      <c r="L127" s="3">
        <v>11</v>
      </c>
      <c r="M127" s="3">
        <v>13</v>
      </c>
      <c r="N127" s="3">
        <v>46</v>
      </c>
      <c r="O127" s="3">
        <v>23</v>
      </c>
      <c r="P127" s="3">
        <v>27</v>
      </c>
      <c r="Q127" s="3" t="s">
        <v>280</v>
      </c>
      <c r="R127" s="3">
        <v>103</v>
      </c>
      <c r="S127" s="3">
        <v>205</v>
      </c>
      <c r="T127" s="3">
        <v>40537</v>
      </c>
      <c r="U127" s="3">
        <v>2728</v>
      </c>
      <c r="V127" s="3">
        <v>7013</v>
      </c>
      <c r="W127" s="3">
        <v>15719</v>
      </c>
      <c r="X127" s="3">
        <v>18.548493744875557</v>
      </c>
      <c r="Y127" s="3">
        <v>0.4461479737896813</v>
      </c>
    </row>
    <row r="128" spans="1:25">
      <c r="A128" s="3" t="s">
        <v>281</v>
      </c>
      <c r="B128" s="3">
        <v>0</v>
      </c>
      <c r="C128" s="3">
        <v>1</v>
      </c>
      <c r="D128" s="3">
        <v>0</v>
      </c>
      <c r="E128" s="3">
        <v>0</v>
      </c>
      <c r="F128" s="3">
        <v>0</v>
      </c>
      <c r="G128" s="3">
        <v>1</v>
      </c>
      <c r="H128" s="3">
        <v>25</v>
      </c>
      <c r="I128" s="3">
        <v>172</v>
      </c>
      <c r="J128" s="3">
        <v>55</v>
      </c>
      <c r="K128" s="3">
        <v>18.591130340724717</v>
      </c>
      <c r="L128" s="3">
        <v>25</v>
      </c>
      <c r="M128" s="3">
        <v>56</v>
      </c>
      <c r="N128" s="3">
        <v>100</v>
      </c>
      <c r="O128" s="3">
        <v>43</v>
      </c>
      <c r="P128" s="3">
        <v>61</v>
      </c>
      <c r="Q128" s="3" t="s">
        <v>282</v>
      </c>
      <c r="R128" s="3">
        <v>91</v>
      </c>
      <c r="S128" s="3">
        <v>29</v>
      </c>
      <c r="T128" s="3">
        <v>947</v>
      </c>
      <c r="U128" s="3">
        <v>510</v>
      </c>
      <c r="V128" s="3">
        <v>339</v>
      </c>
      <c r="W128" s="3">
        <v>68</v>
      </c>
      <c r="X128" s="3">
        <v>77.574370709382151</v>
      </c>
      <c r="Y128" s="3">
        <v>4.9852941176470589</v>
      </c>
    </row>
    <row r="129" spans="1:25">
      <c r="A129" s="3" t="s">
        <v>283</v>
      </c>
      <c r="B129" s="3">
        <v>0</v>
      </c>
      <c r="C129" s="3">
        <v>1</v>
      </c>
      <c r="D129" s="3">
        <v>0</v>
      </c>
      <c r="E129" s="3">
        <v>0</v>
      </c>
      <c r="F129" s="3">
        <v>1</v>
      </c>
      <c r="G129" s="3">
        <v>0</v>
      </c>
      <c r="H129" s="3">
        <v>47</v>
      </c>
      <c r="I129" s="3">
        <v>163</v>
      </c>
      <c r="J129" s="3">
        <v>69</v>
      </c>
      <c r="K129" s="3">
        <v>25.970115548195267</v>
      </c>
      <c r="L129" s="3">
        <v>15</v>
      </c>
      <c r="M129" s="3">
        <v>27</v>
      </c>
      <c r="N129" s="3">
        <v>65</v>
      </c>
      <c r="O129" s="3">
        <v>22</v>
      </c>
      <c r="P129" s="3">
        <v>23</v>
      </c>
      <c r="Q129" s="3" t="s">
        <v>284</v>
      </c>
      <c r="R129" s="3">
        <v>60</v>
      </c>
      <c r="S129" s="3">
        <v>37</v>
      </c>
      <c r="T129" s="3">
        <v>1335</v>
      </c>
      <c r="U129" s="3">
        <v>633</v>
      </c>
      <c r="V129" s="3">
        <v>367</v>
      </c>
      <c r="W129" s="3">
        <v>245</v>
      </c>
      <c r="X129" s="3">
        <v>52.279202279202281</v>
      </c>
      <c r="Y129" s="3">
        <v>1.4979591836734694</v>
      </c>
    </row>
    <row r="130" spans="1:25">
      <c r="A130" s="3" t="s">
        <v>285</v>
      </c>
      <c r="B130" s="3">
        <v>0</v>
      </c>
      <c r="C130" s="3">
        <v>1</v>
      </c>
      <c r="D130" s="3">
        <v>1</v>
      </c>
      <c r="E130" s="3">
        <v>0</v>
      </c>
      <c r="F130" s="3">
        <v>0</v>
      </c>
      <c r="G130" s="3">
        <v>1</v>
      </c>
      <c r="H130" s="3">
        <v>50</v>
      </c>
      <c r="I130" s="3">
        <v>172</v>
      </c>
      <c r="J130" s="3">
        <v>51</v>
      </c>
      <c r="K130" s="3">
        <v>17.239048134126556</v>
      </c>
      <c r="L130" s="3">
        <v>16</v>
      </c>
      <c r="M130" s="3">
        <v>30</v>
      </c>
      <c r="N130" s="3">
        <v>67</v>
      </c>
      <c r="O130" s="3">
        <v>27</v>
      </c>
      <c r="P130" s="3">
        <v>32</v>
      </c>
      <c r="Q130" s="3" t="s">
        <v>286</v>
      </c>
      <c r="R130" s="3">
        <v>69</v>
      </c>
      <c r="S130" s="3">
        <v>57</v>
      </c>
      <c r="T130" s="3">
        <v>3123</v>
      </c>
      <c r="U130" s="3">
        <v>1367</v>
      </c>
      <c r="V130" s="3">
        <v>1123</v>
      </c>
      <c r="W130" s="3">
        <v>506</v>
      </c>
      <c r="X130" s="3">
        <v>63.95216400911162</v>
      </c>
      <c r="Y130" s="3">
        <v>2.2193675889328062</v>
      </c>
    </row>
    <row r="131" spans="1:25">
      <c r="A131" s="3" t="s">
        <v>287</v>
      </c>
      <c r="B131" s="3">
        <v>0</v>
      </c>
      <c r="C131" s="3">
        <v>1</v>
      </c>
      <c r="D131" s="3">
        <v>0</v>
      </c>
      <c r="E131" s="3">
        <v>0</v>
      </c>
      <c r="F131" s="3">
        <v>1</v>
      </c>
      <c r="G131" s="3">
        <v>0</v>
      </c>
      <c r="H131" s="3">
        <v>64</v>
      </c>
      <c r="I131" s="3">
        <v>156</v>
      </c>
      <c r="J131" s="3">
        <v>48</v>
      </c>
      <c r="K131" s="3">
        <v>19.723865877712029</v>
      </c>
      <c r="L131" s="3">
        <v>10</v>
      </c>
      <c r="M131" s="3">
        <v>15</v>
      </c>
      <c r="N131" s="3">
        <v>69</v>
      </c>
      <c r="O131" s="3">
        <v>20</v>
      </c>
      <c r="P131" s="3">
        <v>22</v>
      </c>
      <c r="Q131" s="3" t="s">
        <v>288</v>
      </c>
      <c r="R131" s="3">
        <v>63</v>
      </c>
      <c r="S131" s="3">
        <v>43</v>
      </c>
      <c r="T131" s="3">
        <v>1698</v>
      </c>
      <c r="U131" s="3">
        <v>696</v>
      </c>
      <c r="V131" s="3">
        <v>337</v>
      </c>
      <c r="W131" s="3">
        <v>528</v>
      </c>
      <c r="X131" s="3">
        <v>33.632734530938123</v>
      </c>
      <c r="Y131" s="3">
        <v>0.6382575757575758</v>
      </c>
    </row>
    <row r="132" spans="1:25">
      <c r="A132" s="3" t="s">
        <v>289</v>
      </c>
      <c r="B132" s="3">
        <v>0</v>
      </c>
      <c r="C132" s="3">
        <v>1</v>
      </c>
      <c r="D132" s="3">
        <v>1</v>
      </c>
      <c r="E132" s="3">
        <v>0</v>
      </c>
      <c r="F132" s="3">
        <v>0</v>
      </c>
      <c r="G132" s="3">
        <v>0</v>
      </c>
      <c r="H132" s="3">
        <v>36</v>
      </c>
      <c r="I132" s="3">
        <v>167</v>
      </c>
      <c r="J132" s="3">
        <v>72</v>
      </c>
      <c r="K132" s="3">
        <v>25.816630212628635</v>
      </c>
      <c r="L132" s="3">
        <v>16</v>
      </c>
      <c r="M132" s="3">
        <v>19</v>
      </c>
      <c r="N132" s="3">
        <v>62</v>
      </c>
      <c r="O132" s="3">
        <v>27</v>
      </c>
      <c r="P132" s="3">
        <v>23</v>
      </c>
      <c r="Q132" s="3" t="s">
        <v>290</v>
      </c>
      <c r="R132" s="3">
        <v>75</v>
      </c>
      <c r="S132" s="3">
        <v>37</v>
      </c>
      <c r="T132" s="3">
        <v>1407</v>
      </c>
      <c r="U132" s="3">
        <v>618</v>
      </c>
      <c r="V132" s="3">
        <v>466</v>
      </c>
      <c r="W132" s="3">
        <v>225</v>
      </c>
      <c r="X132" s="3">
        <v>59.062103929024083</v>
      </c>
      <c r="Y132" s="3">
        <v>2.0711111111111111</v>
      </c>
    </row>
    <row r="133" spans="1:25">
      <c r="A133" s="3" t="s">
        <v>291</v>
      </c>
      <c r="B133" s="3">
        <v>0</v>
      </c>
      <c r="C133" s="3">
        <v>1</v>
      </c>
      <c r="D133" s="3">
        <v>0</v>
      </c>
      <c r="E133" s="3">
        <v>0</v>
      </c>
      <c r="F133" s="3">
        <v>1</v>
      </c>
      <c r="G133" s="3">
        <v>0</v>
      </c>
      <c r="H133" s="3">
        <v>64</v>
      </c>
      <c r="I133" s="3">
        <v>158</v>
      </c>
      <c r="J133" s="3">
        <v>48</v>
      </c>
      <c r="K133" s="3">
        <v>19.227687870533565</v>
      </c>
      <c r="L133" s="3">
        <v>1</v>
      </c>
      <c r="M133" s="3">
        <v>9</v>
      </c>
      <c r="N133" s="3">
        <v>71</v>
      </c>
      <c r="O133" s="3">
        <v>8</v>
      </c>
      <c r="P133" s="3">
        <v>7</v>
      </c>
      <c r="Q133" s="3" t="s">
        <v>292</v>
      </c>
      <c r="R133" s="3">
        <v>52</v>
      </c>
      <c r="S133" s="3">
        <v>62</v>
      </c>
      <c r="T133" s="3">
        <v>3482</v>
      </c>
      <c r="U133" s="3">
        <v>1880</v>
      </c>
      <c r="V133" s="3">
        <v>677</v>
      </c>
      <c r="W133" s="3">
        <v>771</v>
      </c>
      <c r="X133" s="3">
        <v>42.259675405742819</v>
      </c>
      <c r="Y133" s="3">
        <v>0.87808041504539558</v>
      </c>
    </row>
    <row r="134" spans="1:25">
      <c r="A134" s="3" t="s">
        <v>293</v>
      </c>
      <c r="B134" s="3">
        <v>1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42</v>
      </c>
      <c r="I134" s="3">
        <v>160</v>
      </c>
      <c r="J134" s="3">
        <v>58</v>
      </c>
      <c r="K134" s="3">
        <v>22.656249999999996</v>
      </c>
      <c r="L134" s="3">
        <v>3</v>
      </c>
      <c r="M134" s="3">
        <v>11</v>
      </c>
      <c r="N134" s="3">
        <v>58</v>
      </c>
      <c r="O134" s="3">
        <v>14</v>
      </c>
      <c r="P134" s="3">
        <v>11</v>
      </c>
      <c r="Q134" s="3" t="s">
        <v>294</v>
      </c>
      <c r="R134" s="3">
        <v>68</v>
      </c>
      <c r="S134" s="3">
        <v>32</v>
      </c>
      <c r="T134" s="3">
        <v>1006</v>
      </c>
      <c r="U134" s="3">
        <v>552</v>
      </c>
      <c r="V134" s="3">
        <v>182</v>
      </c>
      <c r="W134" s="3">
        <v>239</v>
      </c>
      <c r="X134" s="3">
        <v>40.08810572687225</v>
      </c>
      <c r="Y134" s="3">
        <v>0.7615062761506276</v>
      </c>
    </row>
    <row r="135" spans="1:25">
      <c r="A135" s="3" t="s">
        <v>295</v>
      </c>
      <c r="B135" s="3">
        <v>1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20</v>
      </c>
      <c r="I135" s="3">
        <v>158</v>
      </c>
      <c r="J135" s="3">
        <v>58</v>
      </c>
      <c r="K135" s="3">
        <v>23.233456176894723</v>
      </c>
      <c r="L135" s="3">
        <v>1</v>
      </c>
      <c r="M135" s="3">
        <v>6</v>
      </c>
      <c r="N135" s="3">
        <v>50</v>
      </c>
      <c r="O135" s="3">
        <v>6</v>
      </c>
      <c r="P135" s="3">
        <v>4</v>
      </c>
      <c r="Q135" s="3" t="s">
        <v>296</v>
      </c>
      <c r="R135" s="3">
        <v>92</v>
      </c>
      <c r="S135" s="3">
        <v>32</v>
      </c>
      <c r="T135" s="3">
        <v>1043</v>
      </c>
      <c r="U135" s="3">
        <v>726</v>
      </c>
      <c r="V135" s="3">
        <v>180</v>
      </c>
      <c r="W135" s="3">
        <v>72</v>
      </c>
      <c r="X135" s="3">
        <v>56.782334384858046</v>
      </c>
      <c r="Y135" s="3">
        <v>2.5</v>
      </c>
    </row>
    <row r="136" spans="1:25">
      <c r="A136" s="3" t="s">
        <v>297</v>
      </c>
      <c r="B136" s="3">
        <v>1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46</v>
      </c>
      <c r="I136" s="3">
        <v>161</v>
      </c>
      <c r="J136" s="3">
        <v>57</v>
      </c>
      <c r="K136" s="3">
        <v>21.989892365263682</v>
      </c>
      <c r="L136" s="3">
        <v>16</v>
      </c>
      <c r="M136" s="3">
        <v>24</v>
      </c>
      <c r="N136" s="3">
        <v>64</v>
      </c>
      <c r="O136" s="3">
        <v>14</v>
      </c>
      <c r="P136" s="3">
        <v>17</v>
      </c>
      <c r="Q136" s="3" t="s">
        <v>298</v>
      </c>
      <c r="R136" s="3">
        <v>86</v>
      </c>
      <c r="S136" s="3">
        <v>27</v>
      </c>
      <c r="T136" s="3">
        <v>801</v>
      </c>
      <c r="U136" s="3">
        <v>425</v>
      </c>
      <c r="V136" s="3">
        <v>204</v>
      </c>
      <c r="W136" s="3">
        <v>122</v>
      </c>
      <c r="X136" s="3">
        <v>54.255319148936174</v>
      </c>
      <c r="Y136" s="3">
        <v>1.6721311475409837</v>
      </c>
    </row>
    <row r="137" spans="1:25">
      <c r="A137" s="3" t="s">
        <v>299</v>
      </c>
      <c r="B137" s="3">
        <v>1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23</v>
      </c>
      <c r="I137" s="3">
        <v>157</v>
      </c>
      <c r="J137" s="3">
        <v>45</v>
      </c>
      <c r="K137" s="3">
        <v>18.25631871475516</v>
      </c>
      <c r="L137" s="3">
        <v>3</v>
      </c>
      <c r="M137" s="3">
        <v>11</v>
      </c>
      <c r="N137" s="3">
        <v>60</v>
      </c>
      <c r="O137" s="3">
        <v>0</v>
      </c>
      <c r="P137" s="3">
        <v>0</v>
      </c>
      <c r="Q137" s="3" t="s">
        <v>300</v>
      </c>
      <c r="R137" s="3">
        <v>74</v>
      </c>
      <c r="S137" s="3">
        <v>56</v>
      </c>
      <c r="T137" s="3">
        <v>2938</v>
      </c>
      <c r="U137" s="3">
        <v>988</v>
      </c>
      <c r="V137" s="3">
        <v>1213</v>
      </c>
      <c r="W137" s="3">
        <v>616</v>
      </c>
      <c r="X137" s="3">
        <v>62.205128205128204</v>
      </c>
      <c r="Y137" s="3">
        <v>1.9691558441558441</v>
      </c>
    </row>
    <row r="138" spans="1:25">
      <c r="A138" s="3" t="s">
        <v>301</v>
      </c>
      <c r="B138" s="3">
        <v>1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31</v>
      </c>
      <c r="I138" s="3">
        <v>167</v>
      </c>
      <c r="J138" s="3">
        <v>74.099999999999994</v>
      </c>
      <c r="K138" s="3">
        <v>26.56961526049697</v>
      </c>
      <c r="L138" s="3">
        <v>4</v>
      </c>
      <c r="M138" s="3">
        <v>10</v>
      </c>
      <c r="N138" s="3">
        <v>35</v>
      </c>
      <c r="O138" s="3">
        <v>5</v>
      </c>
      <c r="P138" s="3">
        <v>3</v>
      </c>
      <c r="Q138" s="3" t="s">
        <v>302</v>
      </c>
      <c r="R138" s="3">
        <v>82</v>
      </c>
      <c r="S138" s="3">
        <v>51</v>
      </c>
      <c r="T138" s="3">
        <v>2690</v>
      </c>
      <c r="U138" s="3">
        <v>768</v>
      </c>
      <c r="V138" s="3">
        <v>1259</v>
      </c>
      <c r="W138" s="3">
        <v>481</v>
      </c>
      <c r="X138" s="3">
        <v>65.504682622268476</v>
      </c>
      <c r="Y138" s="3">
        <v>2.6174636174636174</v>
      </c>
    </row>
    <row r="139" spans="1:25">
      <c r="A139" s="3" t="s">
        <v>303</v>
      </c>
      <c r="B139" s="3">
        <v>1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34</v>
      </c>
      <c r="I139" s="3">
        <v>165</v>
      </c>
      <c r="J139" s="3">
        <v>55</v>
      </c>
      <c r="K139" s="3">
        <v>20.202020202020204</v>
      </c>
      <c r="L139" s="3">
        <v>10</v>
      </c>
      <c r="M139" s="3">
        <v>22</v>
      </c>
      <c r="N139" s="3">
        <v>68</v>
      </c>
      <c r="O139" s="3">
        <v>17</v>
      </c>
      <c r="P139" s="3">
        <v>17</v>
      </c>
      <c r="Q139" s="3" t="s">
        <v>304</v>
      </c>
      <c r="R139" s="3">
        <v>73</v>
      </c>
      <c r="S139" s="3">
        <v>31</v>
      </c>
      <c r="T139" s="3">
        <v>944</v>
      </c>
      <c r="U139" s="3">
        <v>487</v>
      </c>
      <c r="V139" s="3">
        <v>267</v>
      </c>
      <c r="W139" s="3">
        <v>146</v>
      </c>
      <c r="X139" s="3">
        <v>58.424507658643329</v>
      </c>
      <c r="Y139" s="3">
        <v>1.8287671232876712</v>
      </c>
    </row>
    <row r="140" spans="1:25">
      <c r="A140" s="3" t="s">
        <v>305</v>
      </c>
      <c r="B140" s="3">
        <v>1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33</v>
      </c>
      <c r="I140" s="3">
        <v>160</v>
      </c>
      <c r="J140" s="3">
        <v>63</v>
      </c>
      <c r="K140" s="3">
        <v>24.609374999999996</v>
      </c>
      <c r="L140" s="3">
        <v>0</v>
      </c>
      <c r="M140" s="3">
        <v>15</v>
      </c>
      <c r="N140" s="3">
        <v>58</v>
      </c>
      <c r="O140" s="3">
        <v>18</v>
      </c>
      <c r="P140" s="3">
        <v>1</v>
      </c>
      <c r="Q140" s="3" t="s">
        <v>306</v>
      </c>
      <c r="R140" s="3">
        <v>77</v>
      </c>
      <c r="S140" s="3">
        <v>61</v>
      </c>
      <c r="T140" s="3">
        <v>3538</v>
      </c>
      <c r="U140" s="3">
        <v>1482</v>
      </c>
      <c r="V140" s="3">
        <v>1120</v>
      </c>
      <c r="W140" s="3">
        <v>862</v>
      </c>
      <c r="X140" s="3">
        <v>54.474708171206224</v>
      </c>
      <c r="Y140" s="3">
        <v>1.2993039443155452</v>
      </c>
    </row>
    <row r="141" spans="1:25">
      <c r="A141" s="3" t="s">
        <v>307</v>
      </c>
      <c r="B141" s="3">
        <v>1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44</v>
      </c>
      <c r="I141" s="3">
        <v>170</v>
      </c>
      <c r="J141" s="3">
        <v>66</v>
      </c>
      <c r="K141" s="3">
        <v>22.837370242214536</v>
      </c>
      <c r="L141" s="3">
        <v>9</v>
      </c>
      <c r="M141" s="3">
        <v>3</v>
      </c>
      <c r="N141" s="3">
        <v>42</v>
      </c>
      <c r="O141" s="3">
        <v>16</v>
      </c>
      <c r="P141" s="3">
        <v>9</v>
      </c>
      <c r="Q141" s="3" t="s">
        <v>308</v>
      </c>
      <c r="R141" s="3">
        <v>82</v>
      </c>
      <c r="S141" s="3">
        <v>20</v>
      </c>
      <c r="T141" s="3">
        <v>432</v>
      </c>
      <c r="U141" s="3">
        <v>248</v>
      </c>
      <c r="V141" s="3">
        <v>103</v>
      </c>
      <c r="W141" s="3">
        <v>55</v>
      </c>
      <c r="X141" s="3">
        <v>55.978260869565219</v>
      </c>
      <c r="Y141" s="3">
        <v>1.8727272727272728</v>
      </c>
    </row>
    <row r="142" spans="1:25">
      <c r="A142" s="3" t="s">
        <v>309</v>
      </c>
      <c r="B142" s="3">
        <v>1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39</v>
      </c>
      <c r="I142" s="3">
        <v>158</v>
      </c>
      <c r="J142" s="3">
        <v>62</v>
      </c>
      <c r="K142" s="3">
        <v>24.835763499439189</v>
      </c>
      <c r="L142" s="3">
        <v>4</v>
      </c>
      <c r="M142" s="3">
        <v>9</v>
      </c>
      <c r="N142" s="3">
        <v>46</v>
      </c>
      <c r="O142" s="3">
        <v>1</v>
      </c>
      <c r="P142" s="3">
        <v>0</v>
      </c>
      <c r="Q142" s="3" t="s">
        <v>310</v>
      </c>
      <c r="R142" s="3">
        <v>69</v>
      </c>
      <c r="S142" s="3">
        <v>55</v>
      </c>
      <c r="T142" s="3">
        <v>2876</v>
      </c>
      <c r="U142" s="3">
        <v>1150</v>
      </c>
      <c r="V142" s="3">
        <v>1171</v>
      </c>
      <c r="W142" s="3">
        <v>442</v>
      </c>
      <c r="X142" s="3">
        <v>67.844727694090381</v>
      </c>
      <c r="Y142" s="3">
        <v>2.6493212669683257</v>
      </c>
    </row>
    <row r="143" spans="1:25">
      <c r="A143" s="3" t="s">
        <v>311</v>
      </c>
      <c r="B143" s="3">
        <v>1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31</v>
      </c>
      <c r="I143" s="3">
        <v>159</v>
      </c>
      <c r="J143" s="3">
        <v>67</v>
      </c>
      <c r="K143" s="3">
        <v>26.502116213757365</v>
      </c>
      <c r="L143" s="3">
        <v>2</v>
      </c>
      <c r="M143" s="3">
        <v>17</v>
      </c>
      <c r="N143" s="3">
        <v>42</v>
      </c>
      <c r="O143" s="3">
        <v>8</v>
      </c>
      <c r="P143" s="3">
        <v>4</v>
      </c>
      <c r="Q143" s="3" t="s">
        <v>312</v>
      </c>
      <c r="R143" s="3">
        <v>79</v>
      </c>
      <c r="S143" s="3">
        <v>56</v>
      </c>
      <c r="T143" s="3">
        <v>3402</v>
      </c>
      <c r="U143" s="3">
        <v>1386</v>
      </c>
      <c r="V143" s="3">
        <v>1487</v>
      </c>
      <c r="W143" s="3">
        <v>453</v>
      </c>
      <c r="X143" s="3">
        <v>73.759920634920633</v>
      </c>
      <c r="Y143" s="3">
        <v>3.2825607064017661</v>
      </c>
    </row>
    <row r="144" spans="1:25">
      <c r="A144" s="3" t="s">
        <v>313</v>
      </c>
      <c r="B144" s="3">
        <v>1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39</v>
      </c>
      <c r="I144" s="3">
        <v>160</v>
      </c>
      <c r="J144" s="3">
        <v>56</v>
      </c>
      <c r="K144" s="3">
        <v>21.874999999999996</v>
      </c>
      <c r="L144" s="3">
        <v>0</v>
      </c>
      <c r="M144" s="3">
        <v>5</v>
      </c>
      <c r="N144" s="3">
        <v>71</v>
      </c>
      <c r="O144" s="3">
        <v>1</v>
      </c>
      <c r="P144" s="3">
        <v>0</v>
      </c>
      <c r="Q144" s="3" t="s">
        <v>314</v>
      </c>
      <c r="R144" s="3">
        <v>93</v>
      </c>
      <c r="S144" s="3">
        <v>29</v>
      </c>
      <c r="T144" s="3">
        <v>921</v>
      </c>
      <c r="U144" s="3">
        <v>354</v>
      </c>
      <c r="V144" s="3">
        <v>267</v>
      </c>
      <c r="W144" s="3">
        <v>247</v>
      </c>
      <c r="X144" s="3">
        <v>47.089947089947088</v>
      </c>
      <c r="Y144" s="3">
        <v>1.0809716599190284</v>
      </c>
    </row>
    <row r="145" spans="1:25">
      <c r="A145" s="3" t="s">
        <v>315</v>
      </c>
      <c r="B145" s="3">
        <v>1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47</v>
      </c>
      <c r="I145" s="3">
        <v>158</v>
      </c>
      <c r="J145" s="3">
        <v>48</v>
      </c>
      <c r="K145" s="3">
        <v>19.227687870533565</v>
      </c>
      <c r="L145" s="3">
        <v>4</v>
      </c>
      <c r="M145" s="3">
        <v>5</v>
      </c>
      <c r="N145" s="3">
        <v>43</v>
      </c>
      <c r="O145" s="3">
        <v>2</v>
      </c>
      <c r="P145" s="3">
        <v>2</v>
      </c>
      <c r="Q145" s="8" t="s">
        <v>316</v>
      </c>
      <c r="R145" s="8">
        <v>73</v>
      </c>
      <c r="S145" s="8">
        <v>67</v>
      </c>
      <c r="T145" s="8">
        <v>4107</v>
      </c>
      <c r="U145" s="8">
        <v>1153</v>
      </c>
      <c r="V145" s="8">
        <v>1735</v>
      </c>
      <c r="W145" s="8">
        <v>855</v>
      </c>
      <c r="X145" s="8">
        <f xml:space="preserve"> 100*V145/(T145-U145)</f>
        <v>58.733920108327695</v>
      </c>
      <c r="Y145" s="8">
        <f>V145/W145</f>
        <v>2.0292397660818713</v>
      </c>
    </row>
    <row r="146" spans="1:25">
      <c r="A146" s="3" t="s">
        <v>317</v>
      </c>
      <c r="B146" s="3">
        <v>1</v>
      </c>
      <c r="C146" s="3">
        <v>0</v>
      </c>
      <c r="D146" s="3">
        <v>0</v>
      </c>
      <c r="E146" s="3">
        <v>0</v>
      </c>
      <c r="F146" s="3">
        <v>0</v>
      </c>
      <c r="G146" s="3">
        <v>1</v>
      </c>
      <c r="H146" s="3">
        <v>66</v>
      </c>
      <c r="I146" s="3">
        <v>171</v>
      </c>
      <c r="J146" s="3">
        <v>72</v>
      </c>
      <c r="K146" s="3">
        <v>24.622960911049557</v>
      </c>
      <c r="L146" s="3">
        <v>0</v>
      </c>
      <c r="M146" s="3">
        <v>12</v>
      </c>
      <c r="N146" s="3">
        <v>73</v>
      </c>
      <c r="O146" s="3">
        <v>5</v>
      </c>
      <c r="P146" s="3">
        <v>0</v>
      </c>
      <c r="Q146" s="3" t="s">
        <v>318</v>
      </c>
      <c r="R146" s="3">
        <v>88</v>
      </c>
      <c r="S146" s="3">
        <v>12</v>
      </c>
      <c r="T146" s="3">
        <v>182</v>
      </c>
      <c r="U146" s="3">
        <v>91</v>
      </c>
      <c r="V146" s="3">
        <v>63</v>
      </c>
      <c r="W146" s="3">
        <v>18</v>
      </c>
      <c r="X146" s="3">
        <v>69.230769230769226</v>
      </c>
      <c r="Y146" s="3">
        <v>3.5</v>
      </c>
    </row>
    <row r="147" spans="1:25">
      <c r="A147" s="3" t="s">
        <v>319</v>
      </c>
      <c r="B147" s="3">
        <v>1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42</v>
      </c>
      <c r="I147" s="3">
        <v>160</v>
      </c>
      <c r="J147" s="3">
        <v>67</v>
      </c>
      <c r="K147" s="3">
        <v>26.171874999999996</v>
      </c>
      <c r="L147" s="3">
        <v>12</v>
      </c>
      <c r="M147" s="3">
        <v>21</v>
      </c>
      <c r="N147" s="3">
        <v>63</v>
      </c>
      <c r="O147" s="3">
        <v>11</v>
      </c>
      <c r="P147" s="3">
        <v>13</v>
      </c>
      <c r="Q147" s="3" t="s">
        <v>320</v>
      </c>
      <c r="R147" s="3">
        <v>86</v>
      </c>
      <c r="S147" s="3">
        <v>18</v>
      </c>
      <c r="T147" s="3">
        <v>357</v>
      </c>
      <c r="U147" s="3">
        <v>159</v>
      </c>
      <c r="V147" s="3">
        <v>57</v>
      </c>
      <c r="W147" s="3">
        <v>120</v>
      </c>
      <c r="X147" s="3">
        <v>28.787878787878789</v>
      </c>
      <c r="Y147" s="3">
        <v>0.47499999999999998</v>
      </c>
    </row>
    <row r="148" spans="1:25">
      <c r="A148" s="3" t="s">
        <v>321</v>
      </c>
      <c r="B148" s="3">
        <v>1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41</v>
      </c>
      <c r="I148" s="3">
        <v>158</v>
      </c>
      <c r="J148" s="3">
        <v>70</v>
      </c>
      <c r="K148" s="3">
        <v>28.040378144528116</v>
      </c>
      <c r="L148" s="3">
        <v>4</v>
      </c>
      <c r="M148" s="3">
        <v>4</v>
      </c>
      <c r="N148" s="3">
        <v>46</v>
      </c>
      <c r="O148" s="3">
        <v>4</v>
      </c>
      <c r="P148" s="3">
        <v>1</v>
      </c>
      <c r="Q148" s="8" t="s">
        <v>322</v>
      </c>
      <c r="R148" s="8">
        <v>89</v>
      </c>
      <c r="S148" s="8">
        <v>18</v>
      </c>
      <c r="T148" s="8">
        <v>359</v>
      </c>
      <c r="U148" s="8">
        <v>105</v>
      </c>
      <c r="V148" s="8">
        <v>105</v>
      </c>
      <c r="W148" s="8">
        <v>119</v>
      </c>
      <c r="X148" s="8">
        <f xml:space="preserve"> 100*V148/(T148-U148)</f>
        <v>41.338582677165356</v>
      </c>
      <c r="Y148" s="8">
        <f>V148/W148</f>
        <v>0.88235294117647056</v>
      </c>
    </row>
    <row r="149" spans="1:25">
      <c r="A149" s="3" t="s">
        <v>323</v>
      </c>
      <c r="B149" s="3">
        <v>0</v>
      </c>
      <c r="C149" s="3">
        <v>0</v>
      </c>
      <c r="D149" s="3">
        <v>0</v>
      </c>
      <c r="E149" s="3">
        <v>1</v>
      </c>
      <c r="F149" s="3">
        <v>1</v>
      </c>
      <c r="G149" s="3">
        <v>0</v>
      </c>
      <c r="H149" s="3">
        <v>41</v>
      </c>
      <c r="I149" s="3">
        <v>159</v>
      </c>
      <c r="J149" s="3">
        <v>50</v>
      </c>
      <c r="K149" s="3">
        <v>19.77769866698311</v>
      </c>
      <c r="L149" s="3">
        <v>10</v>
      </c>
      <c r="M149" s="3">
        <v>16</v>
      </c>
      <c r="N149" s="3">
        <v>45</v>
      </c>
      <c r="O149" s="3">
        <v>31</v>
      </c>
      <c r="P149" s="3">
        <v>27</v>
      </c>
      <c r="Q149" s="3" t="s">
        <v>324</v>
      </c>
      <c r="R149" s="3">
        <v>71</v>
      </c>
      <c r="S149" s="3">
        <v>26</v>
      </c>
      <c r="T149" s="3">
        <v>670</v>
      </c>
      <c r="U149" s="3">
        <v>333</v>
      </c>
      <c r="V149" s="3">
        <v>120</v>
      </c>
      <c r="W149" s="3">
        <v>164</v>
      </c>
      <c r="X149" s="3">
        <v>35.608308605341243</v>
      </c>
      <c r="Y149" s="3">
        <v>0.73170731707317072</v>
      </c>
    </row>
    <row r="150" spans="1:25">
      <c r="A150" s="3" t="s">
        <v>325</v>
      </c>
      <c r="B150" s="3">
        <v>0</v>
      </c>
      <c r="C150" s="3">
        <v>0</v>
      </c>
      <c r="D150" s="3">
        <v>0</v>
      </c>
      <c r="E150" s="3">
        <v>0</v>
      </c>
      <c r="F150" s="3">
        <v>1</v>
      </c>
      <c r="G150" s="3">
        <v>0</v>
      </c>
      <c r="H150" s="3">
        <v>62</v>
      </c>
      <c r="I150" s="3">
        <v>157</v>
      </c>
      <c r="J150" s="3">
        <v>52</v>
      </c>
      <c r="K150" s="3">
        <v>21.096190514828187</v>
      </c>
      <c r="L150" s="3">
        <v>6</v>
      </c>
      <c r="M150" s="3">
        <v>13</v>
      </c>
      <c r="N150" s="3">
        <v>60</v>
      </c>
      <c r="O150" s="3">
        <v>8</v>
      </c>
      <c r="P150" s="3">
        <v>10</v>
      </c>
      <c r="Q150" s="3" t="s">
        <v>326</v>
      </c>
      <c r="R150" s="3">
        <v>73</v>
      </c>
      <c r="S150" s="3">
        <v>27</v>
      </c>
      <c r="T150" s="3">
        <v>722</v>
      </c>
      <c r="U150" s="3">
        <v>392</v>
      </c>
      <c r="V150" s="3">
        <v>104</v>
      </c>
      <c r="W150" s="3">
        <v>175</v>
      </c>
      <c r="X150" s="3">
        <v>31.515151515151516</v>
      </c>
      <c r="Y150" s="3">
        <v>0.59428571428571431</v>
      </c>
    </row>
    <row r="151" spans="1:25">
      <c r="A151" s="3" t="s">
        <v>327</v>
      </c>
      <c r="B151" s="3">
        <v>0</v>
      </c>
      <c r="C151" s="3">
        <v>1</v>
      </c>
      <c r="D151" s="3">
        <v>0</v>
      </c>
      <c r="E151" s="3">
        <v>0</v>
      </c>
      <c r="F151" s="3">
        <v>1</v>
      </c>
      <c r="G151" s="3">
        <v>1</v>
      </c>
      <c r="H151" s="3">
        <v>59</v>
      </c>
      <c r="I151" s="3">
        <v>171</v>
      </c>
      <c r="J151" s="3">
        <v>75</v>
      </c>
      <c r="K151" s="3">
        <v>25.64891761567662</v>
      </c>
      <c r="L151" s="3">
        <v>10</v>
      </c>
      <c r="M151" s="3">
        <v>32</v>
      </c>
      <c r="N151" s="3">
        <v>66</v>
      </c>
      <c r="O151" s="3">
        <v>15</v>
      </c>
      <c r="P151" s="3">
        <v>17</v>
      </c>
      <c r="Q151" s="3" t="s">
        <v>328</v>
      </c>
      <c r="R151" s="3">
        <v>58</v>
      </c>
      <c r="S151" s="3">
        <v>31</v>
      </c>
      <c r="T151" s="3">
        <v>824</v>
      </c>
      <c r="U151" s="3">
        <v>428</v>
      </c>
      <c r="V151" s="3">
        <v>71</v>
      </c>
      <c r="W151" s="3">
        <v>266</v>
      </c>
      <c r="X151" s="3">
        <v>17.929292929292931</v>
      </c>
      <c r="Y151" s="3">
        <v>0.26691729323308272</v>
      </c>
    </row>
    <row r="152" spans="1:25">
      <c r="A152" s="3" t="s">
        <v>329</v>
      </c>
      <c r="B152" s="3">
        <v>0</v>
      </c>
      <c r="C152" s="3">
        <v>1</v>
      </c>
      <c r="D152" s="3">
        <v>0</v>
      </c>
      <c r="E152" s="3">
        <v>0</v>
      </c>
      <c r="F152" s="3">
        <v>0</v>
      </c>
      <c r="G152" s="3">
        <v>0</v>
      </c>
      <c r="H152" s="3">
        <v>25</v>
      </c>
      <c r="I152" s="3">
        <v>166</v>
      </c>
      <c r="J152" s="3">
        <v>53</v>
      </c>
      <c r="K152" s="3">
        <v>19.233560749020178</v>
      </c>
      <c r="L152" s="3">
        <v>11</v>
      </c>
      <c r="M152" s="3">
        <v>31</v>
      </c>
      <c r="N152" s="3">
        <v>59</v>
      </c>
      <c r="O152" s="3">
        <v>29</v>
      </c>
      <c r="P152" s="3">
        <v>15</v>
      </c>
      <c r="Q152" s="3" t="s">
        <v>330</v>
      </c>
      <c r="R152" s="3">
        <v>47</v>
      </c>
      <c r="S152" s="3">
        <v>80</v>
      </c>
      <c r="T152" s="3">
        <v>6237</v>
      </c>
      <c r="U152" s="3">
        <v>4626</v>
      </c>
      <c r="V152" s="3">
        <v>958</v>
      </c>
      <c r="W152" s="3">
        <v>535</v>
      </c>
      <c r="X152" s="3">
        <v>59.466170080695221</v>
      </c>
      <c r="Y152" s="3">
        <v>1.7906542056074766</v>
      </c>
    </row>
    <row r="153" spans="1:25">
      <c r="A153" s="3" t="s">
        <v>331</v>
      </c>
      <c r="B153" s="3">
        <v>0</v>
      </c>
      <c r="C153" s="3">
        <v>1</v>
      </c>
      <c r="D153" s="3">
        <v>0</v>
      </c>
      <c r="E153" s="3">
        <v>0</v>
      </c>
      <c r="F153" s="3">
        <v>1</v>
      </c>
      <c r="G153" s="3">
        <v>1</v>
      </c>
      <c r="H153" s="3">
        <v>48</v>
      </c>
      <c r="I153" s="3">
        <v>163</v>
      </c>
      <c r="J153" s="3">
        <v>65</v>
      </c>
      <c r="K153" s="3">
        <v>24.464601603372351</v>
      </c>
      <c r="L153" s="3">
        <v>11</v>
      </c>
      <c r="M153" s="3">
        <v>20</v>
      </c>
      <c r="N153" s="3">
        <v>30</v>
      </c>
      <c r="O153" s="3">
        <v>13</v>
      </c>
      <c r="P153" s="3">
        <v>9</v>
      </c>
      <c r="Q153" s="3" t="s">
        <v>332</v>
      </c>
      <c r="R153" s="3">
        <v>60</v>
      </c>
      <c r="S153" s="3">
        <v>51</v>
      </c>
      <c r="T153" s="3">
        <v>2647</v>
      </c>
      <c r="U153" s="3">
        <v>2334</v>
      </c>
      <c r="V153" s="3">
        <v>157</v>
      </c>
      <c r="W153" s="3">
        <v>114</v>
      </c>
      <c r="X153" s="3">
        <v>50.159744408945684</v>
      </c>
      <c r="Y153" s="3">
        <v>1.3771929824561404</v>
      </c>
    </row>
    <row r="154" spans="1:25">
      <c r="A154" s="3" t="s">
        <v>333</v>
      </c>
      <c r="B154" s="3">
        <v>0</v>
      </c>
      <c r="C154" s="3">
        <v>0</v>
      </c>
      <c r="D154" s="3">
        <v>1</v>
      </c>
      <c r="E154" s="3">
        <v>0</v>
      </c>
      <c r="F154" s="3">
        <v>0</v>
      </c>
      <c r="G154" s="3">
        <v>1</v>
      </c>
      <c r="H154" s="3">
        <v>62</v>
      </c>
      <c r="I154" s="3">
        <v>163</v>
      </c>
      <c r="J154" s="3">
        <v>70</v>
      </c>
      <c r="K154" s="3">
        <v>26.346494034400994</v>
      </c>
      <c r="L154" s="3">
        <v>7</v>
      </c>
      <c r="M154" s="3">
        <v>22</v>
      </c>
      <c r="N154" s="3">
        <v>78</v>
      </c>
      <c r="O154" s="3">
        <v>46</v>
      </c>
      <c r="P154" s="3">
        <v>15</v>
      </c>
      <c r="Q154" s="3" t="s">
        <v>334</v>
      </c>
      <c r="R154" s="3">
        <v>62</v>
      </c>
      <c r="S154" s="3">
        <v>63</v>
      </c>
      <c r="T154" s="3">
        <v>3772</v>
      </c>
      <c r="U154" s="3">
        <v>2789</v>
      </c>
      <c r="V154" s="3">
        <v>768</v>
      </c>
      <c r="W154" s="3">
        <v>169</v>
      </c>
      <c r="X154" s="3">
        <v>78.128179043743643</v>
      </c>
      <c r="Y154" s="3">
        <v>4.5443786982248522</v>
      </c>
    </row>
    <row r="155" spans="1:25">
      <c r="A155" s="3" t="s">
        <v>335</v>
      </c>
      <c r="B155" s="3">
        <v>0</v>
      </c>
      <c r="C155" s="3">
        <v>0</v>
      </c>
      <c r="D155" s="3">
        <v>0</v>
      </c>
      <c r="E155" s="3">
        <v>1</v>
      </c>
      <c r="F155" s="3">
        <v>1</v>
      </c>
      <c r="G155" s="3">
        <v>1</v>
      </c>
      <c r="H155" s="3">
        <v>51</v>
      </c>
      <c r="I155" s="3">
        <v>164</v>
      </c>
      <c r="J155" s="3">
        <v>78</v>
      </c>
      <c r="K155" s="3">
        <v>29.000594883997625</v>
      </c>
      <c r="L155" s="3">
        <v>7</v>
      </c>
      <c r="M155" s="3">
        <v>35</v>
      </c>
      <c r="N155" s="3">
        <v>68</v>
      </c>
      <c r="O155" s="3">
        <v>32</v>
      </c>
      <c r="P155" s="3">
        <v>23</v>
      </c>
      <c r="Q155" s="3" t="s">
        <v>336</v>
      </c>
      <c r="R155" s="3">
        <v>65</v>
      </c>
      <c r="S155" s="3">
        <v>26</v>
      </c>
      <c r="T155" s="3">
        <v>713</v>
      </c>
      <c r="U155" s="3">
        <v>460</v>
      </c>
      <c r="V155" s="3">
        <v>110</v>
      </c>
      <c r="W155" s="3">
        <v>109</v>
      </c>
      <c r="X155" s="3">
        <v>43.478260869565219</v>
      </c>
      <c r="Y155" s="3">
        <v>1.0091743119266054</v>
      </c>
    </row>
    <row r="156" spans="1:25">
      <c r="A156" s="3" t="s">
        <v>337</v>
      </c>
      <c r="B156" s="3">
        <v>0</v>
      </c>
      <c r="C156" s="3">
        <v>0</v>
      </c>
      <c r="D156" s="3">
        <v>0</v>
      </c>
      <c r="E156" s="3">
        <v>0</v>
      </c>
      <c r="F156" s="3">
        <v>1</v>
      </c>
      <c r="G156" s="3">
        <v>0</v>
      </c>
      <c r="H156" s="3">
        <v>56</v>
      </c>
      <c r="I156" s="3">
        <v>163</v>
      </c>
      <c r="J156" s="3">
        <v>66</v>
      </c>
      <c r="K156" s="3">
        <v>24.840980089578082</v>
      </c>
      <c r="L156" s="3">
        <v>7</v>
      </c>
      <c r="M156" s="3">
        <v>27</v>
      </c>
      <c r="N156" s="3">
        <v>62</v>
      </c>
      <c r="O156" s="3">
        <v>21</v>
      </c>
      <c r="P156" s="3">
        <v>17</v>
      </c>
      <c r="Q156" s="3" t="s">
        <v>338</v>
      </c>
      <c r="R156" s="3">
        <v>69</v>
      </c>
      <c r="S156" s="3">
        <v>30</v>
      </c>
      <c r="T156" s="3">
        <v>1014</v>
      </c>
      <c r="U156" s="3">
        <v>666</v>
      </c>
      <c r="V156" s="3">
        <v>270</v>
      </c>
      <c r="W156" s="3">
        <v>57</v>
      </c>
      <c r="X156" s="3">
        <v>77.58620689655173</v>
      </c>
      <c r="Y156" s="3">
        <v>4.7368421052631575</v>
      </c>
    </row>
    <row r="157" spans="1:25">
      <c r="A157" s="3" t="s">
        <v>339</v>
      </c>
      <c r="B157" s="3">
        <v>0</v>
      </c>
      <c r="C157" s="3">
        <v>1</v>
      </c>
      <c r="D157" s="3">
        <v>0</v>
      </c>
      <c r="E157" s="3">
        <v>0</v>
      </c>
      <c r="F157" s="3">
        <v>1</v>
      </c>
      <c r="G157" s="3">
        <v>0</v>
      </c>
      <c r="H157" s="3">
        <v>63</v>
      </c>
      <c r="I157" s="3">
        <v>158</v>
      </c>
      <c r="J157" s="3">
        <v>64</v>
      </c>
      <c r="K157" s="3">
        <v>25.63691716071142</v>
      </c>
      <c r="L157" s="3">
        <v>8</v>
      </c>
      <c r="M157" s="3">
        <v>36</v>
      </c>
      <c r="N157" s="3">
        <v>57</v>
      </c>
      <c r="O157" s="3">
        <v>36</v>
      </c>
      <c r="P157" s="3">
        <v>28</v>
      </c>
      <c r="Q157" s="3" t="s">
        <v>340</v>
      </c>
      <c r="R157" s="3">
        <v>74</v>
      </c>
      <c r="S157" s="3">
        <v>39</v>
      </c>
      <c r="T157" s="3">
        <v>1399</v>
      </c>
      <c r="U157" s="3">
        <v>67</v>
      </c>
      <c r="V157" s="3">
        <v>811</v>
      </c>
      <c r="W157" s="3">
        <v>369</v>
      </c>
      <c r="X157" s="3">
        <v>60.885885885885884</v>
      </c>
      <c r="Y157" s="3">
        <v>2.1978319783197833</v>
      </c>
    </row>
    <row r="158" spans="1:25">
      <c r="A158" s="3" t="s">
        <v>341</v>
      </c>
      <c r="B158" s="3">
        <v>0</v>
      </c>
      <c r="C158" s="3">
        <v>1</v>
      </c>
      <c r="D158" s="3">
        <v>0</v>
      </c>
      <c r="E158" s="3">
        <v>0</v>
      </c>
      <c r="F158" s="3">
        <v>1</v>
      </c>
      <c r="G158" s="3">
        <v>0</v>
      </c>
      <c r="H158" s="3">
        <v>45</v>
      </c>
      <c r="I158" s="3">
        <v>160</v>
      </c>
      <c r="J158" s="3">
        <v>58</v>
      </c>
      <c r="K158" s="3">
        <v>22.656249999999996</v>
      </c>
      <c r="L158" s="3">
        <v>13</v>
      </c>
      <c r="M158" s="3">
        <v>12</v>
      </c>
      <c r="N158" s="3">
        <v>63</v>
      </c>
      <c r="O158" s="3">
        <v>43</v>
      </c>
      <c r="P158" s="3">
        <v>34</v>
      </c>
      <c r="Q158" s="3" t="s">
        <v>342</v>
      </c>
      <c r="R158" s="3">
        <v>90</v>
      </c>
      <c r="S158" s="3">
        <v>26</v>
      </c>
      <c r="T158" s="3">
        <v>716</v>
      </c>
      <c r="U158" s="3">
        <v>252</v>
      </c>
      <c r="V158" s="3">
        <v>211</v>
      </c>
      <c r="W158" s="3">
        <v>144</v>
      </c>
      <c r="X158" s="3">
        <v>45.474137931034484</v>
      </c>
      <c r="Y158" s="3">
        <v>1.4652777777777777</v>
      </c>
    </row>
    <row r="159" spans="1:25">
      <c r="A159" s="3" t="s">
        <v>343</v>
      </c>
      <c r="B159" s="3">
        <v>0</v>
      </c>
      <c r="C159" s="3">
        <v>1</v>
      </c>
      <c r="D159" s="3">
        <v>0</v>
      </c>
      <c r="E159" s="3">
        <v>0</v>
      </c>
      <c r="F159" s="3">
        <v>0</v>
      </c>
      <c r="G159" s="3">
        <v>0</v>
      </c>
      <c r="H159" s="3">
        <v>60</v>
      </c>
      <c r="I159" s="3">
        <v>152</v>
      </c>
      <c r="J159" s="3">
        <v>47</v>
      </c>
      <c r="K159" s="3">
        <v>20.342797783933516</v>
      </c>
      <c r="L159" s="3">
        <v>7</v>
      </c>
      <c r="M159" s="3">
        <v>27</v>
      </c>
      <c r="N159" s="3">
        <v>73</v>
      </c>
      <c r="O159" s="3">
        <v>7</v>
      </c>
      <c r="P159" s="3">
        <v>2</v>
      </c>
      <c r="Q159" s="3" t="s">
        <v>344</v>
      </c>
      <c r="R159" s="3">
        <v>71</v>
      </c>
      <c r="S159" s="3">
        <v>31</v>
      </c>
      <c r="T159" s="3">
        <v>1093</v>
      </c>
      <c r="U159" s="3">
        <v>793</v>
      </c>
      <c r="V159" s="3">
        <v>215</v>
      </c>
      <c r="W159" s="3">
        <v>58</v>
      </c>
      <c r="X159" s="3">
        <v>71.666666666666671</v>
      </c>
      <c r="Y159" s="3">
        <v>3.7068965517241379</v>
      </c>
    </row>
    <row r="160" spans="1:25">
      <c r="A160" s="3" t="s">
        <v>345</v>
      </c>
      <c r="B160" s="3">
        <v>0</v>
      </c>
      <c r="C160" s="3">
        <v>1</v>
      </c>
      <c r="D160" s="3">
        <v>0</v>
      </c>
      <c r="E160" s="3">
        <v>0</v>
      </c>
      <c r="F160" s="3">
        <v>1</v>
      </c>
      <c r="G160" s="3">
        <v>0</v>
      </c>
      <c r="H160" s="3">
        <v>54</v>
      </c>
      <c r="I160" s="3">
        <v>151</v>
      </c>
      <c r="J160" s="3">
        <v>50</v>
      </c>
      <c r="K160" s="3">
        <v>21.928862769176792</v>
      </c>
      <c r="L160" s="3">
        <v>6</v>
      </c>
      <c r="M160" s="3">
        <v>24</v>
      </c>
      <c r="N160" s="3">
        <v>52</v>
      </c>
      <c r="O160" s="3">
        <v>18</v>
      </c>
      <c r="P160" s="3">
        <v>10</v>
      </c>
      <c r="Q160" s="3" t="s">
        <v>346</v>
      </c>
      <c r="R160" s="3">
        <v>78</v>
      </c>
      <c r="S160" s="3">
        <v>30</v>
      </c>
      <c r="T160" s="3">
        <v>932</v>
      </c>
      <c r="U160" s="3">
        <v>197</v>
      </c>
      <c r="V160" s="3">
        <v>559</v>
      </c>
      <c r="W160" s="3">
        <v>158</v>
      </c>
      <c r="X160" s="3">
        <v>76.054421768707485</v>
      </c>
      <c r="Y160" s="3">
        <v>3.537974683544304</v>
      </c>
    </row>
    <row r="161" spans="1:25">
      <c r="A161" s="3" t="s">
        <v>347</v>
      </c>
      <c r="B161" s="3">
        <v>0</v>
      </c>
      <c r="C161" s="3">
        <v>0</v>
      </c>
      <c r="D161" s="3">
        <v>1</v>
      </c>
      <c r="E161" s="3">
        <v>0</v>
      </c>
      <c r="F161" s="3">
        <v>0</v>
      </c>
      <c r="G161" s="3">
        <v>1</v>
      </c>
      <c r="H161" s="3">
        <v>58</v>
      </c>
      <c r="I161" s="3">
        <v>176</v>
      </c>
      <c r="J161" s="3">
        <v>74.5</v>
      </c>
      <c r="K161" s="3">
        <v>24.050878099173556</v>
      </c>
      <c r="L161" s="3">
        <v>4</v>
      </c>
      <c r="M161" s="3">
        <v>6</v>
      </c>
      <c r="N161" s="3">
        <v>30</v>
      </c>
      <c r="O161" s="3">
        <v>10</v>
      </c>
      <c r="P161" s="3">
        <v>9</v>
      </c>
      <c r="Q161" s="3" t="s">
        <v>348</v>
      </c>
      <c r="R161" s="3">
        <v>68</v>
      </c>
      <c r="S161" s="3">
        <v>34</v>
      </c>
      <c r="T161" s="3">
        <v>1257</v>
      </c>
      <c r="U161" s="3">
        <v>776</v>
      </c>
      <c r="V161" s="3">
        <v>341</v>
      </c>
      <c r="W161" s="3">
        <v>124</v>
      </c>
      <c r="X161" s="3">
        <v>70.893970893970888</v>
      </c>
      <c r="Y161" s="3">
        <v>2.75</v>
      </c>
    </row>
    <row r="162" spans="1:25">
      <c r="A162" s="3" t="s">
        <v>349</v>
      </c>
      <c r="B162" s="3">
        <v>1</v>
      </c>
      <c r="C162" s="3">
        <v>0</v>
      </c>
      <c r="D162" s="3">
        <v>0</v>
      </c>
      <c r="E162" s="3">
        <v>0</v>
      </c>
      <c r="F162" s="3">
        <v>0</v>
      </c>
      <c r="G162" s="3">
        <v>1</v>
      </c>
      <c r="H162" s="3">
        <v>55</v>
      </c>
      <c r="I162" s="3">
        <v>175</v>
      </c>
      <c r="J162" s="3">
        <v>71</v>
      </c>
      <c r="K162" s="3">
        <v>23.183673469387756</v>
      </c>
      <c r="L162" s="3">
        <v>0</v>
      </c>
      <c r="M162" s="3">
        <v>5</v>
      </c>
      <c r="N162" s="3">
        <v>53</v>
      </c>
      <c r="O162" s="3">
        <v>2</v>
      </c>
      <c r="P162" s="3">
        <v>1</v>
      </c>
      <c r="Q162" s="3" t="s">
        <v>350</v>
      </c>
      <c r="R162" s="3">
        <v>81</v>
      </c>
      <c r="S162" s="3">
        <v>29</v>
      </c>
      <c r="T162" s="3">
        <v>879</v>
      </c>
      <c r="U162" s="3">
        <v>430</v>
      </c>
      <c r="V162" s="3">
        <v>254</v>
      </c>
      <c r="W162" s="3">
        <v>182</v>
      </c>
      <c r="X162" s="3">
        <v>56.570155902004451</v>
      </c>
      <c r="Y162" s="3">
        <v>1.3956043956043955</v>
      </c>
    </row>
    <row r="163" spans="1:25">
      <c r="A163" s="3" t="s">
        <v>351</v>
      </c>
      <c r="B163" s="3">
        <v>1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54</v>
      </c>
      <c r="I163" s="3">
        <v>156</v>
      </c>
      <c r="J163" s="3">
        <v>57</v>
      </c>
      <c r="K163" s="3">
        <v>23.422090729783037</v>
      </c>
      <c r="L163" s="3">
        <v>9</v>
      </c>
      <c r="M163" s="3">
        <v>22</v>
      </c>
      <c r="N163" s="3">
        <v>66</v>
      </c>
      <c r="O163" s="3">
        <v>16</v>
      </c>
      <c r="P163" s="3">
        <v>14</v>
      </c>
      <c r="Q163" s="3" t="s">
        <v>352</v>
      </c>
      <c r="R163" s="3">
        <v>99</v>
      </c>
      <c r="S163" s="3">
        <v>12</v>
      </c>
      <c r="T163" s="3">
        <v>163</v>
      </c>
      <c r="U163" s="3">
        <v>56</v>
      </c>
      <c r="V163" s="3">
        <v>45</v>
      </c>
      <c r="W163" s="3">
        <v>48</v>
      </c>
      <c r="X163" s="3">
        <v>42.056074766355138</v>
      </c>
      <c r="Y163" s="3">
        <v>0.9375</v>
      </c>
    </row>
    <row r="164" spans="1:25">
      <c r="A164" s="3" t="s">
        <v>353</v>
      </c>
      <c r="B164" s="3">
        <v>0</v>
      </c>
      <c r="C164" s="3">
        <v>0</v>
      </c>
      <c r="D164" s="3">
        <v>1</v>
      </c>
      <c r="E164" s="3">
        <v>0</v>
      </c>
      <c r="F164" s="3">
        <v>1</v>
      </c>
      <c r="G164" s="3">
        <v>0</v>
      </c>
      <c r="H164" s="3">
        <v>39</v>
      </c>
      <c r="I164" s="3">
        <v>160</v>
      </c>
      <c r="J164" s="3">
        <v>60</v>
      </c>
      <c r="K164" s="3">
        <v>23.437499999999996</v>
      </c>
      <c r="L164" s="3">
        <v>19</v>
      </c>
      <c r="M164" s="3">
        <v>8</v>
      </c>
      <c r="N164" s="3">
        <v>46</v>
      </c>
      <c r="O164" s="3">
        <v>10</v>
      </c>
      <c r="P164" s="3">
        <v>11</v>
      </c>
      <c r="Q164" s="3" t="s">
        <v>354</v>
      </c>
      <c r="R164" s="3">
        <v>70</v>
      </c>
      <c r="S164" s="3">
        <v>23</v>
      </c>
      <c r="T164" s="3">
        <v>497</v>
      </c>
      <c r="U164" s="3">
        <v>90</v>
      </c>
      <c r="V164" s="3">
        <v>81</v>
      </c>
      <c r="W164" s="3">
        <v>295</v>
      </c>
      <c r="X164" s="3">
        <v>19.9017199017199</v>
      </c>
      <c r="Y164" s="3">
        <v>0.27457627118644068</v>
      </c>
    </row>
    <row r="165" spans="1:25">
      <c r="A165" s="3" t="s">
        <v>355</v>
      </c>
      <c r="B165" s="3">
        <v>0</v>
      </c>
      <c r="C165" s="3">
        <v>0</v>
      </c>
      <c r="D165" s="3">
        <v>1</v>
      </c>
      <c r="E165" s="3">
        <v>1</v>
      </c>
      <c r="F165" s="3">
        <v>0</v>
      </c>
      <c r="G165" s="3">
        <v>0</v>
      </c>
      <c r="H165" s="3">
        <v>59</v>
      </c>
      <c r="I165" s="3">
        <v>157</v>
      </c>
      <c r="J165" s="3">
        <v>49</v>
      </c>
      <c r="K165" s="3">
        <v>19.879102600511175</v>
      </c>
      <c r="L165" s="3">
        <v>10</v>
      </c>
      <c r="M165" s="3">
        <v>7</v>
      </c>
      <c r="N165" s="3">
        <v>54</v>
      </c>
      <c r="O165" s="3">
        <v>38</v>
      </c>
      <c r="P165" s="3">
        <v>25</v>
      </c>
      <c r="Q165" s="3" t="s">
        <v>356</v>
      </c>
      <c r="R165" s="3">
        <v>68</v>
      </c>
      <c r="S165" s="3">
        <v>59</v>
      </c>
      <c r="T165" s="3">
        <v>2966</v>
      </c>
      <c r="U165" s="3">
        <v>382</v>
      </c>
      <c r="V165" s="3">
        <v>699</v>
      </c>
      <c r="W165" s="3">
        <v>816</v>
      </c>
      <c r="X165" s="3">
        <v>27.05108359133127</v>
      </c>
      <c r="Y165" s="3">
        <v>0.85661764705882348</v>
      </c>
    </row>
    <row r="166" spans="1:25">
      <c r="A166" s="3" t="s">
        <v>357</v>
      </c>
      <c r="B166" s="3">
        <v>1</v>
      </c>
      <c r="C166" s="3">
        <v>0</v>
      </c>
      <c r="D166" s="3">
        <v>0</v>
      </c>
      <c r="E166" s="3">
        <v>0</v>
      </c>
      <c r="F166" s="3">
        <v>0</v>
      </c>
      <c r="G166" s="3">
        <v>1</v>
      </c>
      <c r="H166" s="3">
        <v>47</v>
      </c>
      <c r="I166" s="3">
        <v>175</v>
      </c>
      <c r="J166" s="3">
        <v>60</v>
      </c>
      <c r="K166" s="3">
        <v>19.591836734693878</v>
      </c>
      <c r="L166" s="3">
        <v>3</v>
      </c>
      <c r="M166" s="3">
        <v>11</v>
      </c>
      <c r="N166" s="3">
        <v>51</v>
      </c>
      <c r="O166" s="3">
        <v>4</v>
      </c>
      <c r="P166" s="3">
        <v>2</v>
      </c>
      <c r="Q166" s="3" t="s">
        <v>358</v>
      </c>
      <c r="R166" s="3">
        <v>62</v>
      </c>
      <c r="S166" s="3">
        <v>39</v>
      </c>
      <c r="T166" s="3">
        <v>1521</v>
      </c>
      <c r="U166" s="3">
        <v>749</v>
      </c>
      <c r="V166" s="3">
        <v>508</v>
      </c>
      <c r="W166" s="3">
        <v>227</v>
      </c>
      <c r="X166" s="3">
        <v>65.803108808290162</v>
      </c>
      <c r="Y166" s="3">
        <v>2.2378854625550662</v>
      </c>
    </row>
    <row r="167" spans="1:25">
      <c r="A167" s="3" t="s">
        <v>359</v>
      </c>
      <c r="B167" s="3">
        <v>0</v>
      </c>
      <c r="C167" s="3">
        <v>1</v>
      </c>
      <c r="D167" s="3">
        <v>0</v>
      </c>
      <c r="E167" s="3">
        <v>1</v>
      </c>
      <c r="F167" s="3">
        <v>0</v>
      </c>
      <c r="G167" s="3">
        <v>1</v>
      </c>
      <c r="H167" s="3">
        <v>42</v>
      </c>
      <c r="I167" s="3">
        <v>170</v>
      </c>
      <c r="J167" s="3">
        <v>72</v>
      </c>
      <c r="K167" s="3">
        <v>24.913494809688583</v>
      </c>
      <c r="L167" s="3">
        <v>16</v>
      </c>
      <c r="M167" s="3">
        <v>33</v>
      </c>
      <c r="N167" s="3">
        <v>53</v>
      </c>
      <c r="O167" s="3">
        <v>27</v>
      </c>
      <c r="P167" s="3">
        <v>32</v>
      </c>
      <c r="Q167" s="3" t="s">
        <v>360</v>
      </c>
      <c r="R167" s="3">
        <v>86</v>
      </c>
      <c r="S167" s="3">
        <v>18</v>
      </c>
      <c r="T167" s="3">
        <v>387</v>
      </c>
      <c r="U167" s="3">
        <v>136</v>
      </c>
      <c r="V167" s="3">
        <v>199</v>
      </c>
      <c r="W167" s="3">
        <v>36</v>
      </c>
      <c r="X167" s="3">
        <v>79.282868525896419</v>
      </c>
      <c r="Y167" s="3">
        <v>5.5277777777777777</v>
      </c>
    </row>
    <row r="168" spans="1:25">
      <c r="A168" s="3" t="s">
        <v>361</v>
      </c>
      <c r="B168" s="3">
        <v>1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42</v>
      </c>
      <c r="I168" s="3">
        <v>169</v>
      </c>
      <c r="J168" s="3">
        <v>70</v>
      </c>
      <c r="K168" s="3">
        <v>24.508945765204302</v>
      </c>
      <c r="L168" s="3">
        <v>0</v>
      </c>
      <c r="M168" s="3">
        <v>15</v>
      </c>
      <c r="N168" s="3">
        <v>52</v>
      </c>
      <c r="O168" s="3">
        <v>0</v>
      </c>
      <c r="P168" s="3">
        <v>2</v>
      </c>
      <c r="Q168" s="8" t="s">
        <v>362</v>
      </c>
      <c r="R168" s="8">
        <v>76</v>
      </c>
      <c r="S168" s="8">
        <v>37</v>
      </c>
      <c r="T168" s="8">
        <v>1339</v>
      </c>
      <c r="U168" s="8">
        <v>529</v>
      </c>
      <c r="V168" s="8">
        <v>178</v>
      </c>
      <c r="W168" s="8">
        <v>576</v>
      </c>
      <c r="X168" s="8">
        <f xml:space="preserve"> 100*V168/(T168-U168)</f>
        <v>21.97530864197531</v>
      </c>
      <c r="Y168" s="8">
        <f>V168/W168</f>
        <v>0.30902777777777779</v>
      </c>
    </row>
    <row r="169" spans="1:25">
      <c r="A169" s="3" t="s">
        <v>363</v>
      </c>
      <c r="B169" s="3">
        <v>1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43</v>
      </c>
      <c r="I169" s="3">
        <v>163</v>
      </c>
      <c r="J169" s="3">
        <v>52.7</v>
      </c>
      <c r="K169" s="3">
        <v>19.835146223041892</v>
      </c>
      <c r="L169" s="3">
        <v>3</v>
      </c>
      <c r="M169" s="3">
        <v>6</v>
      </c>
      <c r="N169" s="3">
        <v>60</v>
      </c>
      <c r="O169" s="3">
        <v>1</v>
      </c>
      <c r="P169" s="3">
        <v>2</v>
      </c>
      <c r="Q169" s="3" t="s">
        <v>364</v>
      </c>
      <c r="R169" s="3">
        <v>77</v>
      </c>
      <c r="S169" s="3">
        <v>26</v>
      </c>
      <c r="T169" s="3">
        <v>698</v>
      </c>
      <c r="U169" s="3">
        <v>328</v>
      </c>
      <c r="V169" s="3">
        <v>232</v>
      </c>
      <c r="W169" s="3">
        <v>98</v>
      </c>
      <c r="X169" s="3">
        <v>62.702702702702702</v>
      </c>
      <c r="Y169" s="3">
        <v>2.3673469387755102</v>
      </c>
    </row>
    <row r="170" spans="1:25">
      <c r="A170" s="3" t="s">
        <v>365</v>
      </c>
      <c r="B170" s="3">
        <v>1</v>
      </c>
      <c r="C170" s="3">
        <v>0</v>
      </c>
      <c r="D170" s="3">
        <v>0</v>
      </c>
      <c r="E170" s="3">
        <v>0</v>
      </c>
      <c r="F170" s="3">
        <v>0</v>
      </c>
      <c r="G170" s="3">
        <v>1</v>
      </c>
      <c r="H170" s="3">
        <v>33</v>
      </c>
      <c r="I170" s="3">
        <v>176</v>
      </c>
      <c r="J170" s="3">
        <v>80</v>
      </c>
      <c r="K170" s="3">
        <v>25.826446280991735</v>
      </c>
      <c r="L170" s="3">
        <v>4</v>
      </c>
      <c r="M170" s="3">
        <v>9</v>
      </c>
      <c r="N170" s="3">
        <v>51</v>
      </c>
      <c r="O170" s="3">
        <v>9</v>
      </c>
      <c r="P170" s="3">
        <v>8</v>
      </c>
      <c r="Q170" s="3" t="s">
        <v>366</v>
      </c>
      <c r="R170" s="3">
        <v>83</v>
      </c>
      <c r="S170" s="3">
        <v>26</v>
      </c>
      <c r="T170" s="3">
        <v>783</v>
      </c>
      <c r="U170" s="3">
        <v>460</v>
      </c>
      <c r="V170" s="3">
        <v>241</v>
      </c>
      <c r="W170" s="3">
        <v>66</v>
      </c>
      <c r="X170" s="3">
        <v>74.61300309597523</v>
      </c>
      <c r="Y170" s="3">
        <v>3.6515151515151514</v>
      </c>
    </row>
    <row r="171" spans="1:25">
      <c r="A171" s="3" t="s">
        <v>367</v>
      </c>
      <c r="B171" s="3">
        <v>1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31</v>
      </c>
      <c r="I171" s="3">
        <v>155</v>
      </c>
      <c r="J171" s="3">
        <v>43</v>
      </c>
      <c r="K171" s="3">
        <v>17.898022892819977</v>
      </c>
      <c r="L171" s="3">
        <v>12</v>
      </c>
      <c r="M171" s="3">
        <v>22</v>
      </c>
      <c r="N171" s="3">
        <v>63</v>
      </c>
      <c r="O171" s="3">
        <v>14</v>
      </c>
      <c r="P171" s="3">
        <v>14</v>
      </c>
      <c r="Q171" s="3" t="s">
        <v>368</v>
      </c>
      <c r="R171" s="3">
        <v>68</v>
      </c>
      <c r="S171" s="3">
        <v>72</v>
      </c>
      <c r="T171" s="3">
        <v>4266</v>
      </c>
      <c r="U171" s="3">
        <v>1790</v>
      </c>
      <c r="V171" s="3">
        <v>622</v>
      </c>
      <c r="W171" s="3">
        <v>1083</v>
      </c>
      <c r="X171" s="3">
        <v>25.121163166397416</v>
      </c>
      <c r="Y171" s="3">
        <v>0.5743305632502308</v>
      </c>
    </row>
    <row r="172" spans="1:25">
      <c r="A172" s="3" t="s">
        <v>369</v>
      </c>
      <c r="B172" s="3">
        <v>1</v>
      </c>
      <c r="C172" s="3">
        <v>0</v>
      </c>
      <c r="D172" s="3">
        <v>0</v>
      </c>
      <c r="E172" s="3">
        <v>0</v>
      </c>
      <c r="F172" s="3">
        <v>0</v>
      </c>
      <c r="G172" s="3">
        <v>1</v>
      </c>
      <c r="H172" s="3">
        <v>21</v>
      </c>
      <c r="I172" s="3">
        <v>172</v>
      </c>
      <c r="J172" s="3">
        <v>55</v>
      </c>
      <c r="K172" s="3">
        <v>18.591130340724717</v>
      </c>
      <c r="L172" s="3">
        <v>3</v>
      </c>
      <c r="M172" s="3">
        <v>10</v>
      </c>
      <c r="N172" s="3">
        <v>53</v>
      </c>
      <c r="O172" s="3">
        <v>2</v>
      </c>
      <c r="P172" s="3">
        <v>1</v>
      </c>
      <c r="Q172" s="3" t="s">
        <v>370</v>
      </c>
      <c r="R172" s="3">
        <v>71</v>
      </c>
      <c r="S172" s="3">
        <v>37</v>
      </c>
      <c r="T172" s="3">
        <v>1433</v>
      </c>
      <c r="U172" s="3">
        <v>651</v>
      </c>
      <c r="V172" s="3">
        <v>506</v>
      </c>
      <c r="W172" s="3">
        <v>224</v>
      </c>
      <c r="X172" s="3">
        <v>64.705882352941174</v>
      </c>
      <c r="Y172" s="3">
        <v>2.2589285714285716</v>
      </c>
    </row>
    <row r="173" spans="1:25">
      <c r="A173" s="3" t="s">
        <v>371</v>
      </c>
      <c r="B173" s="3">
        <v>1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21</v>
      </c>
      <c r="I173" s="3">
        <v>161</v>
      </c>
      <c r="J173" s="3">
        <v>50</v>
      </c>
      <c r="K173" s="3">
        <v>19.289379267775161</v>
      </c>
      <c r="L173" s="3">
        <v>2</v>
      </c>
      <c r="M173" s="3">
        <v>8</v>
      </c>
      <c r="N173" s="3">
        <v>52</v>
      </c>
      <c r="O173" s="3">
        <v>9</v>
      </c>
      <c r="P173" s="3">
        <v>4</v>
      </c>
      <c r="Q173" s="3" t="s">
        <v>372</v>
      </c>
      <c r="R173" s="3">
        <v>66</v>
      </c>
      <c r="S173" s="3">
        <v>51</v>
      </c>
      <c r="T173" s="3">
        <v>2633</v>
      </c>
      <c r="U173" s="3">
        <v>1391</v>
      </c>
      <c r="V173" s="3">
        <v>697</v>
      </c>
      <c r="W173" s="3">
        <v>482</v>
      </c>
      <c r="X173" s="3">
        <v>56.11916264090177</v>
      </c>
      <c r="Y173" s="3">
        <v>1.446058091286307</v>
      </c>
    </row>
    <row r="174" spans="1:25">
      <c r="A174" s="3" t="s">
        <v>373</v>
      </c>
      <c r="B174" s="3">
        <v>1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48</v>
      </c>
      <c r="I174" s="3">
        <v>153</v>
      </c>
      <c r="J174" s="3">
        <v>58</v>
      </c>
      <c r="K174" s="3">
        <v>24.776795249690291</v>
      </c>
      <c r="L174" s="3">
        <v>2</v>
      </c>
      <c r="M174" s="3">
        <v>20</v>
      </c>
      <c r="N174" s="3">
        <v>61</v>
      </c>
      <c r="O174" s="3">
        <v>2</v>
      </c>
      <c r="P174" s="3">
        <v>3</v>
      </c>
      <c r="Q174" s="3" t="s">
        <v>374</v>
      </c>
      <c r="R174" s="3">
        <v>71</v>
      </c>
      <c r="S174" s="3">
        <v>52</v>
      </c>
      <c r="T174" s="3">
        <v>2739</v>
      </c>
      <c r="U174" s="3">
        <v>1779</v>
      </c>
      <c r="V174" s="3">
        <v>484</v>
      </c>
      <c r="W174" s="3">
        <v>241</v>
      </c>
      <c r="X174" s="3">
        <v>50.416666666666664</v>
      </c>
      <c r="Y174" s="3">
        <v>2.008298755186722</v>
      </c>
    </row>
    <row r="175" spans="1:25">
      <c r="A175" s="3" t="s">
        <v>375</v>
      </c>
      <c r="B175" s="3">
        <v>1</v>
      </c>
      <c r="C175" s="3">
        <v>0</v>
      </c>
      <c r="D175" s="3">
        <v>0</v>
      </c>
      <c r="E175" s="3">
        <v>0</v>
      </c>
      <c r="F175" s="3">
        <v>0</v>
      </c>
      <c r="G175" s="3">
        <v>1</v>
      </c>
      <c r="H175" s="3">
        <v>44</v>
      </c>
      <c r="I175" s="3">
        <v>173</v>
      </c>
      <c r="J175" s="3">
        <v>136</v>
      </c>
      <c r="K175" s="3">
        <v>45.440876741621835</v>
      </c>
      <c r="L175" s="3">
        <v>16</v>
      </c>
      <c r="M175" s="3">
        <v>51</v>
      </c>
      <c r="N175" s="3">
        <v>56</v>
      </c>
      <c r="O175" s="3">
        <v>40</v>
      </c>
      <c r="P175" s="3">
        <v>31</v>
      </c>
      <c r="Q175" s="3" t="s">
        <v>376</v>
      </c>
      <c r="R175" s="3">
        <v>88</v>
      </c>
      <c r="S175" s="3">
        <v>23</v>
      </c>
      <c r="T175" s="3">
        <v>591</v>
      </c>
      <c r="U175" s="3">
        <v>492</v>
      </c>
      <c r="V175" s="3">
        <v>68</v>
      </c>
      <c r="W175" s="3">
        <v>25</v>
      </c>
      <c r="X175" s="3">
        <v>68.686868686868692</v>
      </c>
      <c r="Y175" s="3">
        <v>2.72</v>
      </c>
    </row>
    <row r="176" spans="1:25">
      <c r="A176" s="3" t="s">
        <v>377</v>
      </c>
      <c r="B176" s="3">
        <v>1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43</v>
      </c>
      <c r="I176" s="3">
        <v>159</v>
      </c>
      <c r="J176" s="3">
        <v>60</v>
      </c>
      <c r="K176" s="3">
        <v>23.733238400379729</v>
      </c>
      <c r="L176" s="3">
        <v>7</v>
      </c>
      <c r="M176" s="3">
        <v>18</v>
      </c>
      <c r="N176" s="3">
        <v>46</v>
      </c>
      <c r="O176" s="3">
        <v>3</v>
      </c>
      <c r="P176" s="3">
        <v>5</v>
      </c>
      <c r="Q176" s="3" t="s">
        <v>378</v>
      </c>
      <c r="R176" s="3">
        <v>70</v>
      </c>
      <c r="S176" s="3">
        <v>34</v>
      </c>
      <c r="T176" s="3">
        <v>1305</v>
      </c>
      <c r="U176" s="3">
        <v>807</v>
      </c>
      <c r="V176" s="3">
        <v>145</v>
      </c>
      <c r="W176" s="3">
        <v>299</v>
      </c>
      <c r="X176" s="3">
        <v>29.116465863453815</v>
      </c>
      <c r="Y176" s="3">
        <v>0.48494983277591974</v>
      </c>
    </row>
    <row r="177" spans="1:25">
      <c r="A177" s="3" t="s">
        <v>379</v>
      </c>
      <c r="B177" s="3">
        <v>1</v>
      </c>
      <c r="C177" s="3">
        <v>0</v>
      </c>
      <c r="D177" s="3">
        <v>0</v>
      </c>
      <c r="E177" s="3">
        <v>0</v>
      </c>
      <c r="F177" s="3">
        <v>0</v>
      </c>
      <c r="G177" s="3">
        <v>1</v>
      </c>
      <c r="H177" s="3">
        <v>45</v>
      </c>
      <c r="I177" s="3">
        <v>178</v>
      </c>
      <c r="J177" s="3">
        <v>69</v>
      </c>
      <c r="K177" s="3">
        <v>21.777553339224845</v>
      </c>
      <c r="L177" s="3">
        <v>0</v>
      </c>
      <c r="M177" s="3">
        <v>10</v>
      </c>
      <c r="N177" s="3">
        <v>61</v>
      </c>
      <c r="O177" s="3">
        <v>3</v>
      </c>
      <c r="P177" s="3">
        <v>0</v>
      </c>
      <c r="Q177" s="3" t="s">
        <v>380</v>
      </c>
      <c r="R177" s="3">
        <v>61</v>
      </c>
      <c r="S177" s="3">
        <v>45</v>
      </c>
      <c r="T177" s="3">
        <v>2011</v>
      </c>
      <c r="U177" s="3">
        <v>995</v>
      </c>
      <c r="V177" s="3">
        <v>505</v>
      </c>
      <c r="W177" s="3">
        <v>463</v>
      </c>
      <c r="X177" s="3">
        <v>49.704724409448822</v>
      </c>
      <c r="Y177" s="3">
        <v>1.0907127429805616</v>
      </c>
    </row>
    <row r="178" spans="1:25">
      <c r="A178" s="3" t="s">
        <v>381</v>
      </c>
      <c r="B178" s="3">
        <v>1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48</v>
      </c>
      <c r="I178" s="3">
        <v>160</v>
      </c>
      <c r="J178" s="3">
        <v>69</v>
      </c>
      <c r="K178" s="3">
        <v>26.953124999999996</v>
      </c>
      <c r="L178" s="3">
        <v>1</v>
      </c>
      <c r="M178" s="3">
        <v>5</v>
      </c>
      <c r="N178" s="3">
        <v>42</v>
      </c>
      <c r="O178" s="3">
        <v>1</v>
      </c>
      <c r="P178" s="3">
        <v>0</v>
      </c>
      <c r="Q178" s="3" t="s">
        <v>382</v>
      </c>
      <c r="R178" s="3">
        <v>77</v>
      </c>
      <c r="S178" s="3">
        <v>23</v>
      </c>
      <c r="T178" s="3">
        <v>557</v>
      </c>
      <c r="U178" s="3">
        <v>404</v>
      </c>
      <c r="V178" s="3">
        <v>74</v>
      </c>
      <c r="W178" s="3">
        <v>65</v>
      </c>
      <c r="X178" s="3">
        <v>48.366013071895424</v>
      </c>
      <c r="Y178" s="3">
        <v>1.1384615384615384</v>
      </c>
    </row>
    <row r="179" spans="1:25">
      <c r="A179" s="3" t="s">
        <v>383</v>
      </c>
      <c r="B179" s="3">
        <v>1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43</v>
      </c>
      <c r="I179" s="3">
        <v>153</v>
      </c>
      <c r="J179" s="3">
        <v>54</v>
      </c>
      <c r="K179" s="3">
        <v>23.068050749711649</v>
      </c>
      <c r="L179" s="3">
        <v>2</v>
      </c>
      <c r="M179" s="3">
        <v>11</v>
      </c>
      <c r="N179" s="3">
        <v>57</v>
      </c>
      <c r="O179" s="3">
        <v>4</v>
      </c>
      <c r="P179" s="3">
        <v>0</v>
      </c>
      <c r="Q179" s="3" t="s">
        <v>384</v>
      </c>
      <c r="R179" s="3">
        <v>74</v>
      </c>
      <c r="S179" s="3">
        <v>40</v>
      </c>
      <c r="T179" s="3">
        <v>1629</v>
      </c>
      <c r="U179" s="3">
        <v>507</v>
      </c>
      <c r="V179" s="3">
        <v>535</v>
      </c>
      <c r="W179" s="3">
        <v>540</v>
      </c>
      <c r="X179" s="3">
        <v>47.682709447415327</v>
      </c>
      <c r="Y179" s="3">
        <v>0.9907407407407407</v>
      </c>
    </row>
    <row r="180" spans="1:25">
      <c r="A180" s="3" t="s">
        <v>385</v>
      </c>
      <c r="B180" s="3">
        <v>1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41</v>
      </c>
      <c r="I180" s="3">
        <v>155</v>
      </c>
      <c r="J180" s="3">
        <v>48</v>
      </c>
      <c r="K180" s="3">
        <v>19.979188345473464</v>
      </c>
      <c r="L180" s="3">
        <v>8</v>
      </c>
      <c r="M180" s="3">
        <v>11</v>
      </c>
      <c r="N180" s="3">
        <v>50</v>
      </c>
      <c r="O180" s="3">
        <v>9</v>
      </c>
      <c r="P180" s="3">
        <v>3</v>
      </c>
      <c r="Q180" s="3" t="s">
        <v>386</v>
      </c>
      <c r="R180" s="3">
        <v>91</v>
      </c>
      <c r="S180" s="3">
        <v>28</v>
      </c>
      <c r="T180" s="3">
        <v>838</v>
      </c>
      <c r="U180" s="3">
        <v>448</v>
      </c>
      <c r="V180" s="3">
        <v>133</v>
      </c>
      <c r="W180" s="3">
        <v>203</v>
      </c>
      <c r="X180" s="3">
        <v>34.102564102564102</v>
      </c>
      <c r="Y180" s="3">
        <v>0.65517241379310343</v>
      </c>
    </row>
    <row r="181" spans="1:25">
      <c r="A181" s="3" t="s">
        <v>387</v>
      </c>
      <c r="B181" s="3">
        <v>1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33</v>
      </c>
      <c r="I181" s="3">
        <v>156</v>
      </c>
      <c r="J181" s="3">
        <v>42</v>
      </c>
      <c r="K181" s="3">
        <v>17.258382642998026</v>
      </c>
      <c r="L181" s="3">
        <v>2</v>
      </c>
      <c r="M181" s="3">
        <v>10</v>
      </c>
      <c r="N181" s="3">
        <v>65</v>
      </c>
      <c r="O181" s="3">
        <v>0</v>
      </c>
      <c r="P181" s="3">
        <v>0</v>
      </c>
      <c r="Q181" s="3" t="s">
        <v>388</v>
      </c>
      <c r="R181" s="3">
        <v>60</v>
      </c>
      <c r="S181" s="3">
        <v>76</v>
      </c>
      <c r="T181" s="3">
        <v>5124</v>
      </c>
      <c r="U181" s="3">
        <v>2215</v>
      </c>
      <c r="V181" s="3">
        <v>1023</v>
      </c>
      <c r="W181" s="3">
        <v>1632</v>
      </c>
      <c r="X181" s="3">
        <v>35.166723960123754</v>
      </c>
      <c r="Y181" s="3">
        <v>0.62683823529411764</v>
      </c>
    </row>
    <row r="182" spans="1:25">
      <c r="A182" s="3" t="s">
        <v>389</v>
      </c>
      <c r="B182" s="3">
        <v>1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32</v>
      </c>
      <c r="I182" s="3">
        <v>164.5</v>
      </c>
      <c r="J182" s="3">
        <v>48.6</v>
      </c>
      <c r="K182" s="3">
        <v>17.959922764941197</v>
      </c>
      <c r="L182" s="3">
        <v>0</v>
      </c>
      <c r="M182" s="3">
        <v>5</v>
      </c>
      <c r="N182" s="3">
        <v>47</v>
      </c>
      <c r="O182" s="3">
        <v>12</v>
      </c>
      <c r="P182" s="3">
        <v>1</v>
      </c>
      <c r="Q182" s="3" t="s">
        <v>390</v>
      </c>
      <c r="R182" s="3">
        <v>77</v>
      </c>
      <c r="S182" s="3">
        <v>62</v>
      </c>
      <c r="T182" s="3">
        <v>3737</v>
      </c>
      <c r="U182" s="3">
        <v>1473</v>
      </c>
      <c r="V182" s="3">
        <v>1629</v>
      </c>
      <c r="W182" s="3">
        <v>474</v>
      </c>
      <c r="X182" s="3">
        <v>71.952296819787989</v>
      </c>
      <c r="Y182" s="3">
        <v>3.4367088607594938</v>
      </c>
    </row>
    <row r="183" spans="1:25">
      <c r="A183" s="3" t="s">
        <v>391</v>
      </c>
      <c r="B183" s="3">
        <v>1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42</v>
      </c>
      <c r="I183" s="3">
        <v>166</v>
      </c>
      <c r="J183" s="3">
        <v>65</v>
      </c>
      <c r="K183" s="3">
        <v>23.588329220496444</v>
      </c>
      <c r="L183" s="3">
        <v>5</v>
      </c>
      <c r="M183" s="3">
        <v>18</v>
      </c>
      <c r="N183" s="3">
        <v>53</v>
      </c>
      <c r="O183" s="3">
        <v>9</v>
      </c>
      <c r="P183" s="3">
        <v>3</v>
      </c>
      <c r="Q183" s="3" t="s">
        <v>392</v>
      </c>
      <c r="R183" s="3">
        <v>72</v>
      </c>
      <c r="S183" s="3">
        <v>39</v>
      </c>
      <c r="T183" s="3">
        <v>1531</v>
      </c>
      <c r="U183" s="3">
        <v>815</v>
      </c>
      <c r="V183" s="3">
        <v>415</v>
      </c>
      <c r="W183" s="3">
        <v>256</v>
      </c>
      <c r="X183" s="3">
        <v>57.960893854748605</v>
      </c>
      <c r="Y183" s="3">
        <v>1.62109375</v>
      </c>
    </row>
    <row r="184" spans="1:25">
      <c r="A184" s="3" t="s">
        <v>393</v>
      </c>
      <c r="B184" s="3">
        <v>1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35</v>
      </c>
      <c r="I184" s="3">
        <v>164</v>
      </c>
      <c r="J184" s="3">
        <v>63</v>
      </c>
      <c r="K184" s="3">
        <v>23.423557406305775</v>
      </c>
      <c r="L184" s="3">
        <v>5</v>
      </c>
      <c r="M184" s="3">
        <v>11</v>
      </c>
      <c r="N184" s="3">
        <v>43</v>
      </c>
      <c r="O184" s="3">
        <v>2</v>
      </c>
      <c r="P184" s="3">
        <v>3</v>
      </c>
      <c r="Q184" s="3" t="s">
        <v>394</v>
      </c>
      <c r="R184" s="3">
        <v>67</v>
      </c>
      <c r="S184" s="3">
        <v>90</v>
      </c>
      <c r="T184" s="3">
        <v>7387</v>
      </c>
      <c r="U184" s="3">
        <v>3909</v>
      </c>
      <c r="V184" s="3">
        <v>1905</v>
      </c>
      <c r="W184" s="3">
        <v>1225</v>
      </c>
      <c r="X184" s="3">
        <v>54.772857964347324</v>
      </c>
      <c r="Y184" s="3">
        <v>1.5551020408163265</v>
      </c>
    </row>
    <row r="185" spans="1:25">
      <c r="A185" s="3" t="s">
        <v>395</v>
      </c>
      <c r="B185" s="3">
        <v>1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38</v>
      </c>
      <c r="I185" s="3">
        <v>151</v>
      </c>
      <c r="J185" s="3">
        <v>55</v>
      </c>
      <c r="K185" s="3">
        <v>24.121749046094468</v>
      </c>
      <c r="L185" s="3">
        <v>3</v>
      </c>
      <c r="M185" s="3">
        <v>14</v>
      </c>
      <c r="N185" s="3">
        <v>57</v>
      </c>
      <c r="O185" s="3">
        <v>4</v>
      </c>
      <c r="P185" s="3">
        <v>1</v>
      </c>
      <c r="Q185" s="3" t="s">
        <v>396</v>
      </c>
      <c r="R185" s="3">
        <v>83</v>
      </c>
      <c r="S185" s="3">
        <v>57</v>
      </c>
      <c r="T185" s="3">
        <v>3093</v>
      </c>
      <c r="U185" s="3">
        <v>1240</v>
      </c>
      <c r="V185" s="3">
        <v>1299</v>
      </c>
      <c r="W185" s="3">
        <v>422</v>
      </c>
      <c r="X185" s="3">
        <v>70.102536427415004</v>
      </c>
      <c r="Y185" s="3">
        <v>3.0781990521327014</v>
      </c>
    </row>
    <row r="186" spans="1:25">
      <c r="A186" s="3" t="s">
        <v>397</v>
      </c>
      <c r="B186" s="3">
        <v>1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35</v>
      </c>
      <c r="I186" s="3">
        <v>160</v>
      </c>
      <c r="J186" s="3">
        <v>80</v>
      </c>
      <c r="K186" s="3">
        <v>31.249999999999993</v>
      </c>
      <c r="L186" s="3">
        <v>2</v>
      </c>
      <c r="M186" s="3">
        <v>11</v>
      </c>
      <c r="N186" s="3">
        <v>43</v>
      </c>
      <c r="O186" s="3">
        <v>2</v>
      </c>
      <c r="P186" s="3">
        <v>1</v>
      </c>
      <c r="Q186" s="3" t="s">
        <v>398</v>
      </c>
      <c r="R186" s="3">
        <v>79</v>
      </c>
      <c r="S186" s="3">
        <v>21</v>
      </c>
      <c r="T186" s="3">
        <v>459</v>
      </c>
      <c r="U186" s="3">
        <v>173</v>
      </c>
      <c r="V186" s="3">
        <v>143</v>
      </c>
      <c r="W186" s="3">
        <v>114</v>
      </c>
      <c r="X186" s="3">
        <v>50</v>
      </c>
      <c r="Y186" s="3">
        <v>1.2543859649122806</v>
      </c>
    </row>
    <row r="187" spans="1:25">
      <c r="A187" s="3" t="s">
        <v>399</v>
      </c>
      <c r="B187" s="3">
        <v>1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36</v>
      </c>
      <c r="I187" s="3">
        <v>163</v>
      </c>
      <c r="J187" s="3">
        <v>60</v>
      </c>
      <c r="K187" s="3">
        <v>22.582709172343712</v>
      </c>
      <c r="L187" s="3">
        <v>5</v>
      </c>
      <c r="M187" s="3">
        <v>10</v>
      </c>
      <c r="N187" s="3">
        <v>43</v>
      </c>
      <c r="O187" s="3">
        <v>4</v>
      </c>
      <c r="P187" s="3">
        <v>0</v>
      </c>
      <c r="Q187" s="3" t="s">
        <v>400</v>
      </c>
      <c r="R187" s="3">
        <v>74</v>
      </c>
      <c r="S187" s="3">
        <v>36</v>
      </c>
      <c r="T187" s="3">
        <v>1231</v>
      </c>
      <c r="U187" s="3">
        <v>755</v>
      </c>
      <c r="V187" s="3">
        <v>174</v>
      </c>
      <c r="W187" s="3">
        <v>224</v>
      </c>
      <c r="X187" s="3">
        <v>36.554621848739494</v>
      </c>
      <c r="Y187" s="3">
        <v>0.7767857142857143</v>
      </c>
    </row>
    <row r="188" spans="1:25">
      <c r="A188" s="3" t="s">
        <v>401</v>
      </c>
      <c r="B188" s="3">
        <v>1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41</v>
      </c>
      <c r="I188" s="3">
        <v>152</v>
      </c>
      <c r="J188" s="3">
        <v>43</v>
      </c>
      <c r="K188" s="3">
        <v>18.611495844875346</v>
      </c>
      <c r="L188" s="3">
        <v>0</v>
      </c>
      <c r="M188" s="3">
        <v>8</v>
      </c>
      <c r="N188" s="3">
        <v>41</v>
      </c>
      <c r="O188" s="3">
        <v>0</v>
      </c>
      <c r="P188" s="3">
        <v>0</v>
      </c>
      <c r="Q188" s="3" t="s">
        <v>402</v>
      </c>
      <c r="R188" s="3">
        <v>73</v>
      </c>
      <c r="S188" s="3">
        <v>32</v>
      </c>
      <c r="T188" s="3">
        <v>980</v>
      </c>
      <c r="U188" s="3">
        <v>622</v>
      </c>
      <c r="V188" s="3">
        <v>140</v>
      </c>
      <c r="W188" s="3">
        <v>172</v>
      </c>
      <c r="X188" s="3">
        <v>39.106145251396647</v>
      </c>
      <c r="Y188" s="3">
        <v>0.81395348837209303</v>
      </c>
    </row>
    <row r="189" spans="1:25">
      <c r="A189" s="3" t="s">
        <v>403</v>
      </c>
      <c r="B189" s="3">
        <v>1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64</v>
      </c>
      <c r="I189" s="3">
        <v>152</v>
      </c>
      <c r="J189" s="3">
        <v>70</v>
      </c>
      <c r="K189" s="3">
        <v>30.297783933518005</v>
      </c>
      <c r="L189" s="3">
        <v>5</v>
      </c>
      <c r="M189" s="3">
        <v>35</v>
      </c>
      <c r="N189" s="3">
        <v>68</v>
      </c>
      <c r="O189" s="3">
        <v>11</v>
      </c>
      <c r="P189" s="3">
        <v>5</v>
      </c>
      <c r="Q189" s="3" t="s">
        <v>404</v>
      </c>
      <c r="R189" s="3">
        <v>94</v>
      </c>
      <c r="S189" s="3">
        <v>16</v>
      </c>
      <c r="T189" s="3">
        <v>276</v>
      </c>
      <c r="U189" s="3">
        <v>128</v>
      </c>
      <c r="V189" s="3">
        <v>134</v>
      </c>
      <c r="W189" s="3">
        <v>10</v>
      </c>
      <c r="X189" s="3">
        <v>90.540540540540547</v>
      </c>
      <c r="Y189" s="3">
        <v>13.4</v>
      </c>
    </row>
    <row r="190" spans="1:25">
      <c r="A190" s="3" t="s">
        <v>405</v>
      </c>
      <c r="B190" s="3">
        <v>1</v>
      </c>
      <c r="C190" s="3">
        <v>0</v>
      </c>
      <c r="D190" s="3">
        <v>0</v>
      </c>
      <c r="E190" s="3">
        <v>0</v>
      </c>
      <c r="F190" s="3">
        <v>0</v>
      </c>
      <c r="G190" s="3">
        <v>1</v>
      </c>
      <c r="H190" s="3">
        <v>65</v>
      </c>
      <c r="I190" s="3">
        <v>179</v>
      </c>
      <c r="J190" s="3">
        <v>72</v>
      </c>
      <c r="K190" s="3">
        <v>22.471208763771418</v>
      </c>
      <c r="L190" s="3">
        <v>4</v>
      </c>
      <c r="M190" s="3">
        <v>11</v>
      </c>
      <c r="N190" s="3">
        <v>74</v>
      </c>
      <c r="O190" s="3">
        <v>14</v>
      </c>
      <c r="P190" s="3">
        <v>2</v>
      </c>
      <c r="Q190" s="3" t="s">
        <v>406</v>
      </c>
      <c r="R190" s="3">
        <v>71</v>
      </c>
      <c r="S190" s="3">
        <v>27</v>
      </c>
      <c r="T190" s="3">
        <v>753</v>
      </c>
      <c r="U190" s="3">
        <v>457</v>
      </c>
      <c r="V190" s="3">
        <v>102</v>
      </c>
      <c r="W190" s="3">
        <v>154</v>
      </c>
      <c r="X190" s="3">
        <v>34.45945945945946</v>
      </c>
      <c r="Y190" s="3">
        <v>0.66233766233766234</v>
      </c>
    </row>
    <row r="191" spans="1:25">
      <c r="A191" s="3" t="s">
        <v>407</v>
      </c>
      <c r="B191" s="3">
        <v>1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40</v>
      </c>
      <c r="I191" s="3">
        <v>174</v>
      </c>
      <c r="J191" s="3">
        <v>73</v>
      </c>
      <c r="K191" s="3">
        <v>24.111507464658473</v>
      </c>
      <c r="L191" s="3">
        <v>0</v>
      </c>
      <c r="M191" s="3">
        <v>12</v>
      </c>
      <c r="N191" s="3">
        <v>42</v>
      </c>
      <c r="O191" s="3">
        <v>2</v>
      </c>
      <c r="P191" s="3">
        <v>0</v>
      </c>
      <c r="Q191" s="3" t="s">
        <v>408</v>
      </c>
      <c r="R191" s="3">
        <v>79</v>
      </c>
      <c r="S191" s="3">
        <v>35</v>
      </c>
      <c r="T191" s="3">
        <v>1381</v>
      </c>
      <c r="U191" s="3">
        <v>639</v>
      </c>
      <c r="V191" s="3">
        <v>501</v>
      </c>
      <c r="W191" s="3">
        <v>210</v>
      </c>
      <c r="X191" s="3">
        <v>67.520215633423177</v>
      </c>
      <c r="Y191" s="3">
        <v>2.3857142857142857</v>
      </c>
    </row>
    <row r="192" spans="1:25">
      <c r="A192" s="3" t="s">
        <v>409</v>
      </c>
      <c r="B192" s="3">
        <v>1</v>
      </c>
      <c r="C192" s="3">
        <v>0</v>
      </c>
      <c r="D192" s="3">
        <v>0</v>
      </c>
      <c r="E192" s="3">
        <v>0</v>
      </c>
      <c r="F192" s="3">
        <v>0</v>
      </c>
      <c r="G192" s="3">
        <v>1</v>
      </c>
      <c r="H192" s="3">
        <v>49</v>
      </c>
      <c r="I192" s="3">
        <v>170</v>
      </c>
      <c r="J192" s="3">
        <v>78</v>
      </c>
      <c r="K192" s="3">
        <v>26.989619377162633</v>
      </c>
      <c r="L192" s="3">
        <v>2</v>
      </c>
      <c r="M192" s="3">
        <v>6</v>
      </c>
      <c r="N192" s="3">
        <v>30</v>
      </c>
      <c r="O192" s="3">
        <v>0</v>
      </c>
      <c r="P192" s="3">
        <v>1</v>
      </c>
      <c r="Q192" s="3" t="s">
        <v>410</v>
      </c>
      <c r="R192" s="3">
        <v>62</v>
      </c>
      <c r="S192" s="3">
        <v>58</v>
      </c>
      <c r="T192" s="3">
        <v>3165</v>
      </c>
      <c r="U192" s="3">
        <v>2294</v>
      </c>
      <c r="V192" s="3">
        <v>640</v>
      </c>
      <c r="W192" s="3">
        <v>182</v>
      </c>
      <c r="X192" s="3">
        <v>73.478760045924219</v>
      </c>
      <c r="Y192" s="3">
        <v>3.5164835164835164</v>
      </c>
    </row>
    <row r="193" spans="1:25">
      <c r="A193" s="3" t="s">
        <v>411</v>
      </c>
      <c r="B193" s="3">
        <v>1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48</v>
      </c>
      <c r="I193" s="3">
        <v>158</v>
      </c>
      <c r="J193" s="3">
        <v>61</v>
      </c>
      <c r="K193" s="3">
        <v>24.435186668803073</v>
      </c>
      <c r="L193" s="3">
        <v>6</v>
      </c>
      <c r="M193" s="3">
        <v>38</v>
      </c>
      <c r="N193" s="3">
        <v>64</v>
      </c>
      <c r="O193" s="3">
        <v>7</v>
      </c>
      <c r="P193" s="3">
        <v>5</v>
      </c>
      <c r="Q193" s="3" t="s">
        <v>412</v>
      </c>
      <c r="R193" s="3">
        <v>70</v>
      </c>
      <c r="S193" s="3">
        <v>36</v>
      </c>
      <c r="T193" s="3">
        <v>1200</v>
      </c>
      <c r="U193" s="3">
        <v>552</v>
      </c>
      <c r="V193" s="3">
        <v>201</v>
      </c>
      <c r="W193" s="3">
        <v>312</v>
      </c>
      <c r="X193" s="3">
        <v>31.018518518518519</v>
      </c>
      <c r="Y193" s="3">
        <v>0.64423076923076927</v>
      </c>
    </row>
    <row r="194" spans="1:25">
      <c r="A194" s="3" t="s">
        <v>413</v>
      </c>
      <c r="B194" s="3">
        <v>1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32</v>
      </c>
      <c r="I194" s="3">
        <v>148</v>
      </c>
      <c r="J194" s="3">
        <v>47</v>
      </c>
      <c r="K194" s="3">
        <v>21.457268078889701</v>
      </c>
      <c r="L194" s="3">
        <v>5</v>
      </c>
      <c r="M194" s="3">
        <v>5</v>
      </c>
      <c r="N194" s="3">
        <v>47</v>
      </c>
      <c r="O194" s="3">
        <v>3</v>
      </c>
      <c r="P194" s="3">
        <v>2</v>
      </c>
      <c r="Q194" s="3" t="s">
        <v>414</v>
      </c>
      <c r="R194" s="3">
        <v>81</v>
      </c>
      <c r="S194" s="3">
        <v>48</v>
      </c>
      <c r="T194" s="3">
        <v>2262</v>
      </c>
      <c r="U194" s="3">
        <v>1527</v>
      </c>
      <c r="V194" s="3">
        <v>493</v>
      </c>
      <c r="W194" s="3">
        <v>199</v>
      </c>
      <c r="X194" s="3">
        <v>67.074829931972786</v>
      </c>
      <c r="Y194" s="3">
        <v>2.4773869346733668</v>
      </c>
    </row>
    <row r="195" spans="1:25">
      <c r="A195" s="3" t="s">
        <v>415</v>
      </c>
      <c r="B195" s="3">
        <v>1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40</v>
      </c>
      <c r="I195" s="3">
        <v>162</v>
      </c>
      <c r="J195" s="3">
        <v>63</v>
      </c>
      <c r="K195" s="3">
        <v>24.005486968449926</v>
      </c>
      <c r="L195" s="3">
        <v>7</v>
      </c>
      <c r="M195" s="3">
        <v>12</v>
      </c>
      <c r="N195" s="3">
        <v>24</v>
      </c>
      <c r="O195" s="3">
        <v>4</v>
      </c>
      <c r="P195" s="3">
        <v>5</v>
      </c>
      <c r="Q195" s="3" t="s">
        <v>416</v>
      </c>
      <c r="R195" s="3">
        <v>68</v>
      </c>
      <c r="S195" s="3">
        <v>53</v>
      </c>
      <c r="T195" s="3">
        <v>2848</v>
      </c>
      <c r="U195" s="3">
        <v>1767</v>
      </c>
      <c r="V195" s="3">
        <v>774</v>
      </c>
      <c r="W195" s="3">
        <v>225</v>
      </c>
      <c r="X195" s="3">
        <v>71.600370027752078</v>
      </c>
      <c r="Y195" s="3">
        <v>3.44</v>
      </c>
    </row>
    <row r="196" spans="1:25">
      <c r="A196" s="3" t="s">
        <v>417</v>
      </c>
      <c r="B196" s="3">
        <v>0</v>
      </c>
      <c r="C196" s="3">
        <v>0</v>
      </c>
      <c r="D196" s="3">
        <v>0</v>
      </c>
      <c r="E196" s="3">
        <v>0</v>
      </c>
      <c r="F196" s="3">
        <v>1</v>
      </c>
      <c r="G196" s="3">
        <v>1</v>
      </c>
      <c r="H196" s="3">
        <v>43</v>
      </c>
      <c r="I196" s="3">
        <v>167</v>
      </c>
      <c r="J196" s="3">
        <v>75</v>
      </c>
      <c r="K196" s="3">
        <v>26.892323138154829</v>
      </c>
      <c r="L196" s="3">
        <v>3</v>
      </c>
      <c r="M196" s="3">
        <v>41</v>
      </c>
      <c r="N196" s="3">
        <v>51</v>
      </c>
      <c r="O196" s="3">
        <v>20</v>
      </c>
      <c r="P196" s="3">
        <v>9</v>
      </c>
      <c r="Q196" s="3" t="s">
        <v>418</v>
      </c>
      <c r="R196" s="3">
        <v>60</v>
      </c>
      <c r="S196" s="3">
        <v>47</v>
      </c>
      <c r="T196" s="3">
        <v>2140</v>
      </c>
      <c r="U196" s="3">
        <v>1498</v>
      </c>
      <c r="V196" s="3">
        <v>283</v>
      </c>
      <c r="W196" s="3">
        <v>322</v>
      </c>
      <c r="X196" s="3">
        <v>44.0809968847352</v>
      </c>
      <c r="Y196" s="3">
        <v>0.8788819875776398</v>
      </c>
    </row>
    <row r="197" spans="1:25" ht="38.450000000000003" customHeight="1">
      <c r="A197" s="3" t="s">
        <v>419</v>
      </c>
      <c r="B197" s="3">
        <v>0</v>
      </c>
      <c r="C197" s="3">
        <v>1</v>
      </c>
      <c r="D197" s="3">
        <v>0</v>
      </c>
      <c r="E197" s="3">
        <v>0</v>
      </c>
      <c r="F197" s="3">
        <v>1</v>
      </c>
      <c r="G197" s="3">
        <v>0</v>
      </c>
      <c r="H197" s="3">
        <v>60</v>
      </c>
      <c r="I197" s="3">
        <v>155</v>
      </c>
      <c r="J197" s="3">
        <v>56</v>
      </c>
      <c r="K197" s="3">
        <v>23.309053069719038</v>
      </c>
      <c r="L197" s="3">
        <v>1</v>
      </c>
      <c r="M197" s="3">
        <v>27</v>
      </c>
      <c r="N197" s="3">
        <v>75</v>
      </c>
      <c r="O197" s="3">
        <v>42</v>
      </c>
      <c r="P197" s="3">
        <v>11</v>
      </c>
      <c r="Q197" s="3" t="s">
        <v>420</v>
      </c>
      <c r="R197" s="3">
        <v>64</v>
      </c>
      <c r="S197" s="3">
        <v>25</v>
      </c>
      <c r="T197" s="3">
        <v>550</v>
      </c>
      <c r="U197" s="3">
        <v>149</v>
      </c>
      <c r="V197" s="3">
        <v>215</v>
      </c>
      <c r="W197" s="3">
        <v>135</v>
      </c>
      <c r="X197" s="3">
        <v>53.615960099750623</v>
      </c>
      <c r="Y197" s="3">
        <v>1.5925925925925926</v>
      </c>
    </row>
    <row r="198" spans="1:25">
      <c r="A198" s="3" t="s">
        <v>421</v>
      </c>
      <c r="B198" s="3">
        <v>0</v>
      </c>
      <c r="C198" s="3">
        <v>1</v>
      </c>
      <c r="D198" s="3">
        <v>0</v>
      </c>
      <c r="E198" s="3">
        <v>0</v>
      </c>
      <c r="F198" s="3">
        <v>0</v>
      </c>
      <c r="G198" s="3">
        <v>1</v>
      </c>
      <c r="H198" s="3">
        <v>68</v>
      </c>
      <c r="I198" s="3">
        <v>165</v>
      </c>
      <c r="J198" s="3">
        <v>60</v>
      </c>
      <c r="K198" s="3">
        <v>22.03856749311295</v>
      </c>
      <c r="L198" s="3">
        <v>1</v>
      </c>
      <c r="M198" s="3">
        <v>7</v>
      </c>
      <c r="N198" s="3">
        <v>42</v>
      </c>
      <c r="O198" s="3">
        <v>3</v>
      </c>
      <c r="P198" s="3">
        <v>2</v>
      </c>
      <c r="Q198" s="3" t="s">
        <v>422</v>
      </c>
      <c r="R198" s="3">
        <v>66</v>
      </c>
      <c r="S198" s="3">
        <v>28</v>
      </c>
      <c r="T198" s="3">
        <v>869</v>
      </c>
      <c r="U198" s="3">
        <v>708</v>
      </c>
      <c r="V198" s="3">
        <v>127</v>
      </c>
      <c r="W198" s="3">
        <v>24</v>
      </c>
      <c r="X198" s="3">
        <v>78.881987577639748</v>
      </c>
      <c r="Y198" s="3">
        <v>5.291666666666667</v>
      </c>
    </row>
    <row r="199" spans="1:25">
      <c r="A199" s="3" t="s">
        <v>423</v>
      </c>
      <c r="B199" s="3">
        <v>0</v>
      </c>
      <c r="C199" s="3">
        <v>1</v>
      </c>
      <c r="D199" s="3">
        <v>0</v>
      </c>
      <c r="E199" s="3">
        <v>1</v>
      </c>
      <c r="F199" s="3">
        <v>0</v>
      </c>
      <c r="G199" s="3">
        <v>1</v>
      </c>
      <c r="H199" s="3">
        <v>58</v>
      </c>
      <c r="I199" s="3">
        <v>175</v>
      </c>
      <c r="J199" s="3">
        <v>64</v>
      </c>
      <c r="K199" s="3">
        <v>20.897959183673468</v>
      </c>
      <c r="L199" s="3">
        <v>8</v>
      </c>
      <c r="M199" s="3">
        <v>25</v>
      </c>
      <c r="N199" s="3">
        <v>75</v>
      </c>
      <c r="O199" s="3">
        <v>24</v>
      </c>
      <c r="P199" s="3">
        <v>21</v>
      </c>
      <c r="Q199" s="3" t="s">
        <v>424</v>
      </c>
      <c r="R199" s="3">
        <v>68</v>
      </c>
      <c r="S199" s="3">
        <v>34</v>
      </c>
      <c r="T199" s="3">
        <v>1088</v>
      </c>
      <c r="U199" s="3">
        <v>446</v>
      </c>
      <c r="V199" s="3">
        <v>208</v>
      </c>
      <c r="W199" s="3">
        <v>311</v>
      </c>
      <c r="X199" s="3">
        <v>32.398753894080997</v>
      </c>
      <c r="Y199" s="3">
        <v>0.6688102893890675</v>
      </c>
    </row>
    <row r="200" spans="1:25">
      <c r="A200" s="3" t="s">
        <v>425</v>
      </c>
      <c r="B200" s="3">
        <v>1</v>
      </c>
      <c r="C200" s="3">
        <v>0</v>
      </c>
      <c r="D200" s="3">
        <v>0</v>
      </c>
      <c r="E200" s="3">
        <v>0</v>
      </c>
      <c r="F200" s="3">
        <v>0</v>
      </c>
      <c r="G200" s="3">
        <v>1</v>
      </c>
      <c r="H200" s="3">
        <v>33</v>
      </c>
      <c r="I200" s="3">
        <v>176</v>
      </c>
      <c r="J200" s="3">
        <v>64</v>
      </c>
      <c r="K200" s="3">
        <v>20.66115702479339</v>
      </c>
      <c r="L200" s="3">
        <v>0</v>
      </c>
      <c r="M200" s="3">
        <v>6</v>
      </c>
      <c r="N200" s="3">
        <v>59</v>
      </c>
      <c r="O200" s="3">
        <v>0</v>
      </c>
      <c r="P200" s="3">
        <v>0</v>
      </c>
      <c r="Q200" s="3" t="s">
        <v>426</v>
      </c>
      <c r="R200" s="3">
        <v>88</v>
      </c>
      <c r="S200" s="3">
        <v>20</v>
      </c>
      <c r="T200" s="3">
        <v>417</v>
      </c>
      <c r="U200" s="3">
        <v>199</v>
      </c>
      <c r="V200" s="3">
        <v>127</v>
      </c>
      <c r="W200" s="3">
        <v>65</v>
      </c>
      <c r="X200" s="3">
        <v>58.256880733944953</v>
      </c>
      <c r="Y200" s="3">
        <v>1.9538461538461538</v>
      </c>
    </row>
    <row r="201" spans="1:25">
      <c r="A201" s="3" t="s">
        <v>427</v>
      </c>
      <c r="B201" s="3">
        <v>0</v>
      </c>
      <c r="C201" s="3">
        <v>0</v>
      </c>
      <c r="D201" s="3">
        <v>1</v>
      </c>
      <c r="E201" s="3">
        <v>0</v>
      </c>
      <c r="F201" s="3">
        <v>0</v>
      </c>
      <c r="G201" s="3">
        <v>0</v>
      </c>
      <c r="H201" s="3">
        <v>65</v>
      </c>
      <c r="I201" s="3">
        <v>160</v>
      </c>
      <c r="J201" s="3">
        <v>64</v>
      </c>
      <c r="K201" s="3">
        <v>24.999999999999996</v>
      </c>
      <c r="L201" s="3">
        <v>10</v>
      </c>
      <c r="M201" s="3">
        <v>28</v>
      </c>
      <c r="N201" s="3">
        <v>61</v>
      </c>
      <c r="O201" s="3">
        <v>14</v>
      </c>
      <c r="P201" s="3">
        <v>12</v>
      </c>
      <c r="Q201" s="3" t="s">
        <v>428</v>
      </c>
      <c r="R201" s="3">
        <v>71</v>
      </c>
      <c r="S201" s="3">
        <v>21</v>
      </c>
      <c r="T201" s="3">
        <v>478</v>
      </c>
      <c r="U201" s="3">
        <v>80</v>
      </c>
      <c r="V201" s="3">
        <v>57</v>
      </c>
      <c r="W201" s="3">
        <v>52</v>
      </c>
      <c r="X201" s="3">
        <v>14.321608040201005</v>
      </c>
      <c r="Y201" s="3">
        <v>1.0961538461538463</v>
      </c>
    </row>
    <row r="202" spans="1:25">
      <c r="A202" s="3" t="s">
        <v>429</v>
      </c>
      <c r="B202" s="3">
        <v>0</v>
      </c>
      <c r="C202" s="3">
        <v>1</v>
      </c>
      <c r="D202" s="3">
        <v>0</v>
      </c>
      <c r="E202" s="3">
        <v>1</v>
      </c>
      <c r="F202" s="3">
        <v>1</v>
      </c>
      <c r="G202" s="3">
        <v>0</v>
      </c>
      <c r="H202" s="3">
        <v>62</v>
      </c>
      <c r="I202" s="3">
        <v>150</v>
      </c>
      <c r="J202" s="3">
        <v>58</v>
      </c>
      <c r="K202" s="3">
        <v>25.777777777777779</v>
      </c>
      <c r="L202" s="3">
        <v>6</v>
      </c>
      <c r="M202" s="3">
        <v>13</v>
      </c>
      <c r="N202" s="3">
        <v>91</v>
      </c>
      <c r="O202" s="3">
        <v>32</v>
      </c>
      <c r="P202" s="3">
        <v>23</v>
      </c>
      <c r="Q202" s="3" t="s">
        <v>430</v>
      </c>
      <c r="R202" s="3">
        <v>78</v>
      </c>
      <c r="S202" s="3">
        <v>20</v>
      </c>
      <c r="T202" s="3">
        <v>412</v>
      </c>
      <c r="U202" s="3">
        <v>158</v>
      </c>
      <c r="V202" s="3">
        <v>150</v>
      </c>
      <c r="W202" s="3">
        <v>81</v>
      </c>
      <c r="X202" s="3">
        <v>59.055118110236222</v>
      </c>
      <c r="Y202" s="3">
        <v>1.8518518518518519</v>
      </c>
    </row>
    <row r="203" spans="1:25">
      <c r="A203" s="3" t="s">
        <v>431</v>
      </c>
      <c r="B203" s="3">
        <v>0</v>
      </c>
      <c r="C203" s="3">
        <v>1</v>
      </c>
      <c r="D203" s="3">
        <v>0</v>
      </c>
      <c r="E203" s="3">
        <v>0</v>
      </c>
      <c r="F203" s="3">
        <v>0</v>
      </c>
      <c r="G203" s="3">
        <v>0</v>
      </c>
      <c r="H203" s="3">
        <v>59</v>
      </c>
      <c r="I203" s="3">
        <v>156</v>
      </c>
      <c r="J203" s="3">
        <v>57</v>
      </c>
      <c r="K203" s="3">
        <v>23.422090729783037</v>
      </c>
      <c r="L203" s="3">
        <v>14</v>
      </c>
      <c r="M203" s="3">
        <v>9</v>
      </c>
      <c r="N203" s="3">
        <v>46</v>
      </c>
      <c r="O203" s="3">
        <v>15</v>
      </c>
      <c r="P203" s="3">
        <v>20</v>
      </c>
      <c r="Q203" s="3" t="s">
        <v>432</v>
      </c>
      <c r="R203" s="3">
        <v>70</v>
      </c>
      <c r="S203" s="3">
        <v>30</v>
      </c>
      <c r="T203" s="3">
        <v>920</v>
      </c>
      <c r="U203" s="3">
        <v>310</v>
      </c>
      <c r="V203" s="3">
        <v>312</v>
      </c>
      <c r="W203" s="3">
        <v>211</v>
      </c>
      <c r="X203" s="3">
        <v>51.147540983606561</v>
      </c>
      <c r="Y203" s="3">
        <v>1.4786729857819905</v>
      </c>
    </row>
    <row r="204" spans="1:25">
      <c r="A204" s="3" t="s">
        <v>433</v>
      </c>
      <c r="B204" s="3">
        <v>0</v>
      </c>
      <c r="C204" s="3">
        <v>0</v>
      </c>
      <c r="D204" s="3">
        <v>0</v>
      </c>
      <c r="E204" s="3">
        <v>0</v>
      </c>
      <c r="F204" s="3">
        <v>1</v>
      </c>
      <c r="G204" s="3">
        <v>1</v>
      </c>
      <c r="H204" s="3">
        <v>58</v>
      </c>
      <c r="I204" s="3">
        <v>173</v>
      </c>
      <c r="J204" s="3">
        <v>62</v>
      </c>
      <c r="K204" s="3">
        <v>20.715693808680545</v>
      </c>
      <c r="L204" s="3">
        <v>3</v>
      </c>
      <c r="M204" s="3">
        <v>10</v>
      </c>
      <c r="N204" s="3">
        <v>38</v>
      </c>
      <c r="O204" s="3">
        <v>3</v>
      </c>
      <c r="P204" s="3">
        <v>0</v>
      </c>
      <c r="Q204" s="3" t="s">
        <v>434</v>
      </c>
      <c r="R204" s="3">
        <v>74</v>
      </c>
      <c r="S204" s="3">
        <v>15</v>
      </c>
      <c r="T204" s="3">
        <v>263</v>
      </c>
      <c r="U204" s="3">
        <v>212</v>
      </c>
      <c r="V204" s="3">
        <v>25</v>
      </c>
      <c r="W204" s="3">
        <v>16</v>
      </c>
      <c r="X204" s="3">
        <v>49.019607843137258</v>
      </c>
      <c r="Y204" s="3">
        <v>1.5625</v>
      </c>
    </row>
    <row r="205" spans="1:25">
      <c r="A205" s="3" t="s">
        <v>435</v>
      </c>
      <c r="B205" s="3">
        <v>0</v>
      </c>
      <c r="C205" s="3">
        <v>1</v>
      </c>
      <c r="D205" s="3">
        <v>0</v>
      </c>
      <c r="E205" s="3">
        <v>0</v>
      </c>
      <c r="F205" s="3">
        <v>1</v>
      </c>
      <c r="G205" s="3">
        <v>1</v>
      </c>
      <c r="H205" s="3">
        <v>58</v>
      </c>
      <c r="I205" s="3">
        <v>171</v>
      </c>
      <c r="J205" s="3">
        <v>53</v>
      </c>
      <c r="K205" s="3">
        <v>18.125235115078144</v>
      </c>
      <c r="L205" s="3">
        <v>3</v>
      </c>
      <c r="M205" s="3">
        <v>12</v>
      </c>
      <c r="N205" s="3">
        <v>49</v>
      </c>
      <c r="O205" s="3">
        <v>3</v>
      </c>
      <c r="P205" s="3">
        <v>0</v>
      </c>
      <c r="Q205" s="3" t="s">
        <v>436</v>
      </c>
      <c r="R205" s="3">
        <v>63</v>
      </c>
      <c r="S205" s="3">
        <v>48</v>
      </c>
      <c r="T205" s="3">
        <v>2803</v>
      </c>
      <c r="U205" s="3">
        <v>1942</v>
      </c>
      <c r="V205" s="3">
        <v>791</v>
      </c>
      <c r="W205" s="3">
        <v>59</v>
      </c>
      <c r="X205" s="3">
        <v>91.869918699186996</v>
      </c>
      <c r="Y205" s="3">
        <v>13.40677966101695</v>
      </c>
    </row>
    <row r="206" spans="1:25">
      <c r="A206" s="3" t="s">
        <v>437</v>
      </c>
      <c r="B206" s="3">
        <v>0</v>
      </c>
      <c r="C206" s="3">
        <v>1</v>
      </c>
      <c r="D206" s="3">
        <v>1</v>
      </c>
      <c r="E206" s="3">
        <v>0</v>
      </c>
      <c r="F206" s="3">
        <v>0</v>
      </c>
      <c r="G206" s="3">
        <v>1</v>
      </c>
      <c r="H206" s="3">
        <v>39</v>
      </c>
      <c r="I206" s="3">
        <v>161</v>
      </c>
      <c r="J206" s="3">
        <v>90</v>
      </c>
      <c r="K206" s="3">
        <v>34.720882681995292</v>
      </c>
      <c r="L206" s="3">
        <v>24</v>
      </c>
      <c r="M206" s="3">
        <v>34</v>
      </c>
      <c r="N206" s="3">
        <v>65</v>
      </c>
      <c r="O206" s="3">
        <v>18</v>
      </c>
      <c r="P206" s="3">
        <v>29</v>
      </c>
      <c r="Q206" s="3" t="s">
        <v>438</v>
      </c>
      <c r="R206" s="3">
        <v>81</v>
      </c>
      <c r="S206" s="3">
        <v>10</v>
      </c>
      <c r="T206" s="3">
        <v>128</v>
      </c>
      <c r="U206" s="3">
        <v>65</v>
      </c>
      <c r="V206" s="3">
        <v>53</v>
      </c>
      <c r="W206" s="3">
        <v>5</v>
      </c>
      <c r="X206" s="3">
        <v>84.126984126984127</v>
      </c>
      <c r="Y206" s="3">
        <v>10.6</v>
      </c>
    </row>
    <row r="207" spans="1:25">
      <c r="A207" s="3" t="s">
        <v>439</v>
      </c>
      <c r="B207" s="3">
        <v>0</v>
      </c>
      <c r="C207" s="3">
        <v>1</v>
      </c>
      <c r="D207" s="3">
        <v>1</v>
      </c>
      <c r="E207" s="3">
        <v>0</v>
      </c>
      <c r="F207" s="3">
        <v>0</v>
      </c>
      <c r="G207" s="3">
        <v>1</v>
      </c>
      <c r="H207" s="3">
        <v>38</v>
      </c>
      <c r="I207" s="3">
        <v>165</v>
      </c>
      <c r="J207" s="3">
        <v>66</v>
      </c>
      <c r="K207" s="3">
        <v>24.242424242424246</v>
      </c>
      <c r="L207" s="3">
        <v>15</v>
      </c>
      <c r="M207" s="3">
        <v>53</v>
      </c>
      <c r="N207" s="3">
        <v>81</v>
      </c>
      <c r="O207" s="3">
        <v>47</v>
      </c>
      <c r="P207" s="3">
        <v>36</v>
      </c>
      <c r="Q207" s="3" t="s">
        <v>440</v>
      </c>
      <c r="R207" s="3">
        <v>62</v>
      </c>
      <c r="S207" s="3">
        <v>28</v>
      </c>
      <c r="T207" s="3">
        <v>845</v>
      </c>
      <c r="U207" s="3">
        <v>495</v>
      </c>
      <c r="V207" s="3">
        <v>145</v>
      </c>
      <c r="W207" s="3">
        <v>177</v>
      </c>
      <c r="X207" s="3">
        <v>41.428571428571431</v>
      </c>
      <c r="Y207" s="3">
        <v>0.8192090395480226</v>
      </c>
    </row>
    <row r="208" spans="1:25">
      <c r="A208" s="3" t="s">
        <v>441</v>
      </c>
      <c r="B208" s="3">
        <v>0</v>
      </c>
      <c r="C208" s="3">
        <v>0</v>
      </c>
      <c r="D208" s="3">
        <v>0</v>
      </c>
      <c r="E208" s="3">
        <v>0</v>
      </c>
      <c r="F208" s="3">
        <v>1</v>
      </c>
      <c r="G208" s="3">
        <v>0</v>
      </c>
      <c r="H208" s="3">
        <v>45</v>
      </c>
      <c r="I208" s="3">
        <v>165</v>
      </c>
      <c r="J208" s="3">
        <v>54</v>
      </c>
      <c r="K208" s="3">
        <v>19.834710743801654</v>
      </c>
      <c r="L208" s="3">
        <v>13</v>
      </c>
      <c r="M208" s="3">
        <v>16</v>
      </c>
      <c r="N208" s="3">
        <v>37</v>
      </c>
      <c r="O208" s="3">
        <v>19</v>
      </c>
      <c r="P208" s="3">
        <v>12</v>
      </c>
      <c r="Q208" s="3" t="s">
        <v>442</v>
      </c>
      <c r="R208" s="3">
        <v>66</v>
      </c>
      <c r="S208" s="3">
        <v>28</v>
      </c>
      <c r="T208" s="3">
        <v>904</v>
      </c>
      <c r="U208" s="3">
        <v>524</v>
      </c>
      <c r="V208" s="3">
        <v>196</v>
      </c>
      <c r="W208" s="3">
        <v>161</v>
      </c>
      <c r="X208" s="3">
        <v>51.578947368421055</v>
      </c>
      <c r="Y208" s="3">
        <v>1.2173913043478262</v>
      </c>
    </row>
    <row r="209" spans="1:25">
      <c r="A209" s="3" t="s">
        <v>443</v>
      </c>
      <c r="B209" s="3">
        <v>0</v>
      </c>
      <c r="C209" s="3">
        <v>1</v>
      </c>
      <c r="D209" s="3">
        <v>1</v>
      </c>
      <c r="E209" s="3">
        <v>1</v>
      </c>
      <c r="F209" s="3">
        <v>1</v>
      </c>
      <c r="G209" s="3">
        <v>0</v>
      </c>
      <c r="H209" s="3">
        <v>35</v>
      </c>
      <c r="I209" s="3">
        <v>159</v>
      </c>
      <c r="J209" s="3">
        <v>55</v>
      </c>
      <c r="K209" s="3">
        <v>21.75546853368142</v>
      </c>
      <c r="L209" s="3">
        <v>3</v>
      </c>
      <c r="M209" s="3">
        <v>2</v>
      </c>
      <c r="N209" s="3">
        <v>78</v>
      </c>
      <c r="O209" s="3">
        <v>15</v>
      </c>
      <c r="P209" s="3">
        <v>4</v>
      </c>
      <c r="Q209" s="3" t="s">
        <v>444</v>
      </c>
      <c r="R209" s="3">
        <v>75</v>
      </c>
      <c r="S209" s="3">
        <v>43</v>
      </c>
      <c r="T209" s="3">
        <v>1876</v>
      </c>
      <c r="U209" s="3">
        <v>1028</v>
      </c>
      <c r="V209" s="3">
        <v>518</v>
      </c>
      <c r="W209" s="3">
        <v>274</v>
      </c>
      <c r="X209" s="3">
        <v>61.084905660377359</v>
      </c>
      <c r="Y209" s="3">
        <v>1.8905109489051095</v>
      </c>
    </row>
    <row r="210" spans="1:25">
      <c r="A210" s="3" t="s">
        <v>445</v>
      </c>
      <c r="B210" s="3">
        <v>1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30</v>
      </c>
      <c r="I210" s="3">
        <v>158</v>
      </c>
      <c r="J210" s="3">
        <v>49</v>
      </c>
      <c r="K210" s="3">
        <v>19.62826470116968</v>
      </c>
      <c r="L210" s="3">
        <v>2</v>
      </c>
      <c r="M210" s="3">
        <v>26</v>
      </c>
      <c r="N210" s="3">
        <v>51</v>
      </c>
      <c r="O210" s="3">
        <v>2</v>
      </c>
      <c r="P210" s="3">
        <v>2</v>
      </c>
      <c r="Q210" s="3" t="s">
        <v>446</v>
      </c>
      <c r="R210" s="3">
        <v>73</v>
      </c>
      <c r="S210" s="3">
        <v>39</v>
      </c>
      <c r="T210" s="3">
        <v>1800</v>
      </c>
      <c r="U210" s="3">
        <v>1283</v>
      </c>
      <c r="V210" s="3">
        <v>376</v>
      </c>
      <c r="W210" s="3">
        <v>107</v>
      </c>
      <c r="X210" s="3">
        <v>72.727272727272734</v>
      </c>
      <c r="Y210" s="3">
        <v>3.514018691588785</v>
      </c>
    </row>
    <row r="211" spans="1:25">
      <c r="A211" s="3" t="s">
        <v>447</v>
      </c>
      <c r="B211" s="3">
        <v>1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43</v>
      </c>
      <c r="I211" s="3">
        <v>161.5</v>
      </c>
      <c r="J211" s="3">
        <v>50.5</v>
      </c>
      <c r="K211" s="3">
        <v>19.361826529536369</v>
      </c>
      <c r="L211" s="3">
        <v>11</v>
      </c>
      <c r="M211" s="3">
        <v>34</v>
      </c>
      <c r="N211" s="3">
        <v>71</v>
      </c>
      <c r="O211" s="3">
        <v>18</v>
      </c>
      <c r="P211" s="3">
        <v>27</v>
      </c>
      <c r="Q211" s="3" t="s">
        <v>448</v>
      </c>
      <c r="R211" s="3">
        <v>80</v>
      </c>
      <c r="S211" s="3">
        <v>22</v>
      </c>
      <c r="T211" s="3">
        <v>551</v>
      </c>
      <c r="U211" s="3">
        <v>263</v>
      </c>
      <c r="V211" s="3">
        <v>207</v>
      </c>
      <c r="W211" s="3">
        <v>61</v>
      </c>
      <c r="X211" s="3">
        <v>71.875</v>
      </c>
      <c r="Y211" s="3">
        <v>3.3934426229508197</v>
      </c>
    </row>
    <row r="212" spans="1:25">
      <c r="A212" s="3" t="s">
        <v>449</v>
      </c>
      <c r="B212" s="3">
        <v>0</v>
      </c>
      <c r="C212" s="3">
        <v>1</v>
      </c>
      <c r="D212" s="3">
        <v>0</v>
      </c>
      <c r="E212" s="3">
        <v>0</v>
      </c>
      <c r="F212" s="3">
        <v>0</v>
      </c>
      <c r="G212" s="3">
        <v>0</v>
      </c>
      <c r="H212" s="3">
        <v>53</v>
      </c>
      <c r="I212" s="3">
        <v>178</v>
      </c>
      <c r="J212" s="3">
        <v>62</v>
      </c>
      <c r="K212" s="3">
        <v>19.568236333796236</v>
      </c>
      <c r="L212" s="3">
        <v>2</v>
      </c>
      <c r="M212" s="3">
        <v>10</v>
      </c>
      <c r="N212" s="3">
        <v>71</v>
      </c>
      <c r="O212" s="3">
        <v>14</v>
      </c>
      <c r="P212" s="3">
        <v>3</v>
      </c>
      <c r="Q212" s="3" t="s">
        <v>450</v>
      </c>
      <c r="R212" s="3">
        <v>53</v>
      </c>
      <c r="S212" s="3">
        <v>38</v>
      </c>
      <c r="T212" s="3">
        <v>1433</v>
      </c>
      <c r="U212" s="3">
        <v>1030</v>
      </c>
      <c r="V212" s="3">
        <v>273</v>
      </c>
      <c r="W212" s="3">
        <v>109</v>
      </c>
      <c r="X212" s="3">
        <v>67.741935483870961</v>
      </c>
      <c r="Y212" s="3">
        <v>2.5045871559633026</v>
      </c>
    </row>
    <row r="213" spans="1:25">
      <c r="A213" s="3" t="s">
        <v>451</v>
      </c>
      <c r="B213" s="3">
        <v>0</v>
      </c>
      <c r="C213" s="3">
        <v>1</v>
      </c>
      <c r="D213" s="3">
        <v>0</v>
      </c>
      <c r="E213" s="3">
        <v>0</v>
      </c>
      <c r="F213" s="3">
        <v>1</v>
      </c>
      <c r="G213" s="3">
        <v>0</v>
      </c>
      <c r="H213" s="3">
        <v>59</v>
      </c>
      <c r="I213" s="3">
        <v>158</v>
      </c>
      <c r="J213" s="3">
        <v>56</v>
      </c>
      <c r="K213" s="3">
        <v>22.432302515622492</v>
      </c>
      <c r="L213" s="3">
        <v>10</v>
      </c>
      <c r="M213" s="3">
        <v>38</v>
      </c>
      <c r="N213" s="3">
        <v>71</v>
      </c>
      <c r="O213" s="3">
        <v>15</v>
      </c>
      <c r="P213" s="3">
        <v>39</v>
      </c>
      <c r="Q213" s="3" t="s">
        <v>452</v>
      </c>
      <c r="R213" s="3">
        <v>85</v>
      </c>
      <c r="S213" s="3">
        <v>14</v>
      </c>
      <c r="T213" s="3">
        <v>214</v>
      </c>
      <c r="U213" s="3">
        <v>113</v>
      </c>
      <c r="V213" s="3">
        <v>38</v>
      </c>
      <c r="W213" s="3">
        <v>49</v>
      </c>
      <c r="X213" s="3">
        <v>37.623762376237622</v>
      </c>
      <c r="Y213" s="3">
        <v>0.77551020408163263</v>
      </c>
    </row>
    <row r="214" spans="1:25">
      <c r="A214" s="3" t="s">
        <v>453</v>
      </c>
      <c r="B214" s="3">
        <v>0</v>
      </c>
      <c r="C214" s="3">
        <v>1</v>
      </c>
      <c r="D214" s="3">
        <v>1</v>
      </c>
      <c r="E214" s="3">
        <v>0</v>
      </c>
      <c r="F214" s="3">
        <v>1</v>
      </c>
      <c r="G214" s="3">
        <v>0</v>
      </c>
      <c r="H214" s="3">
        <v>28</v>
      </c>
      <c r="I214" s="3">
        <v>167</v>
      </c>
      <c r="J214" s="3">
        <v>50</v>
      </c>
      <c r="K214" s="3">
        <v>17.928215425436552</v>
      </c>
      <c r="L214" s="3">
        <v>20</v>
      </c>
      <c r="M214" s="3">
        <v>53</v>
      </c>
      <c r="N214" s="3">
        <v>69</v>
      </c>
      <c r="O214" s="3">
        <v>31</v>
      </c>
      <c r="P214" s="3">
        <v>35</v>
      </c>
      <c r="Q214" s="3" t="s">
        <v>454</v>
      </c>
      <c r="R214" s="3">
        <v>92</v>
      </c>
      <c r="S214" s="3">
        <v>136</v>
      </c>
      <c r="T214" s="3">
        <v>15591</v>
      </c>
      <c r="U214" s="3">
        <v>2450</v>
      </c>
      <c r="V214" s="3">
        <v>3879</v>
      </c>
      <c r="W214" s="3">
        <v>6373</v>
      </c>
      <c r="X214" s="3">
        <v>29.518301499124878</v>
      </c>
      <c r="Y214" s="3">
        <v>0.60866154087556879</v>
      </c>
    </row>
    <row r="215" spans="1:25">
      <c r="A215" s="3" t="s">
        <v>455</v>
      </c>
      <c r="B215" s="3">
        <v>0</v>
      </c>
      <c r="C215" s="3">
        <v>1</v>
      </c>
      <c r="D215" s="3">
        <v>0</v>
      </c>
      <c r="E215" s="3">
        <v>1</v>
      </c>
      <c r="F215" s="3">
        <v>0</v>
      </c>
      <c r="G215" s="3">
        <v>0</v>
      </c>
      <c r="H215" s="3">
        <v>30</v>
      </c>
      <c r="I215" s="3">
        <v>153</v>
      </c>
      <c r="J215" s="3">
        <v>40</v>
      </c>
      <c r="K215" s="3">
        <v>17.087444999786406</v>
      </c>
      <c r="L215" s="3">
        <v>21</v>
      </c>
      <c r="M215" s="3">
        <v>36</v>
      </c>
      <c r="N215" s="3">
        <v>77</v>
      </c>
      <c r="O215" s="3">
        <v>43</v>
      </c>
      <c r="P215" s="3">
        <v>38</v>
      </c>
      <c r="Q215" s="3" t="s">
        <v>456</v>
      </c>
      <c r="R215" s="3">
        <v>85</v>
      </c>
      <c r="S215" s="3">
        <v>32</v>
      </c>
      <c r="T215" s="3">
        <v>1045</v>
      </c>
      <c r="U215" s="3">
        <v>522</v>
      </c>
      <c r="V215" s="3">
        <v>331</v>
      </c>
      <c r="W215" s="3">
        <v>131</v>
      </c>
      <c r="X215" s="3">
        <v>63.288718929254301</v>
      </c>
      <c r="Y215" s="3">
        <v>2.5267175572519083</v>
      </c>
    </row>
    <row r="216" spans="1:25">
      <c r="A216" s="3" t="s">
        <v>457</v>
      </c>
      <c r="B216" s="3">
        <v>0</v>
      </c>
      <c r="C216" s="3">
        <v>1</v>
      </c>
      <c r="D216" s="3">
        <v>1</v>
      </c>
      <c r="E216" s="3">
        <v>1</v>
      </c>
      <c r="F216" s="3">
        <v>0</v>
      </c>
      <c r="G216" s="3">
        <v>1</v>
      </c>
      <c r="H216" s="3">
        <v>38</v>
      </c>
      <c r="I216" s="3">
        <v>172</v>
      </c>
      <c r="J216" s="3">
        <v>70</v>
      </c>
      <c r="K216" s="3">
        <v>23.661438615467823</v>
      </c>
      <c r="L216" s="3">
        <v>12</v>
      </c>
      <c r="M216" s="3">
        <v>37</v>
      </c>
      <c r="N216" s="3">
        <v>53</v>
      </c>
      <c r="O216" s="3">
        <v>16</v>
      </c>
      <c r="P216" s="3">
        <v>23</v>
      </c>
      <c r="Q216" s="3" t="s">
        <v>458</v>
      </c>
      <c r="R216" s="3">
        <v>87</v>
      </c>
      <c r="S216" s="3">
        <v>44</v>
      </c>
      <c r="T216" s="3">
        <v>2124</v>
      </c>
      <c r="U216" s="3">
        <v>990</v>
      </c>
      <c r="V216" s="3">
        <v>745</v>
      </c>
      <c r="W216" s="3">
        <v>371</v>
      </c>
      <c r="X216" s="3">
        <v>65.696649029982368</v>
      </c>
      <c r="Y216" s="3">
        <v>2.0080862533692723</v>
      </c>
    </row>
    <row r="217" spans="1:25">
      <c r="A217" s="3" t="s">
        <v>459</v>
      </c>
      <c r="B217" s="3">
        <v>0</v>
      </c>
      <c r="C217" s="3">
        <v>1</v>
      </c>
      <c r="D217" s="3">
        <v>0</v>
      </c>
      <c r="E217" s="3">
        <v>0</v>
      </c>
      <c r="F217" s="3">
        <v>1</v>
      </c>
      <c r="G217" s="3">
        <v>0</v>
      </c>
      <c r="H217" s="3">
        <v>36</v>
      </c>
      <c r="I217" s="3">
        <v>159</v>
      </c>
      <c r="J217" s="3">
        <v>50</v>
      </c>
      <c r="K217" s="3">
        <v>19.77769866698311</v>
      </c>
      <c r="L217" s="3">
        <v>5</v>
      </c>
      <c r="M217" s="3">
        <v>9</v>
      </c>
      <c r="N217" s="3">
        <v>72</v>
      </c>
      <c r="O217" s="3">
        <v>4</v>
      </c>
      <c r="P217" s="3">
        <v>4</v>
      </c>
      <c r="Q217" s="3" t="s">
        <v>460</v>
      </c>
      <c r="R217" s="3">
        <v>89</v>
      </c>
      <c r="S217" s="3">
        <v>43</v>
      </c>
      <c r="T217" s="3">
        <v>1702</v>
      </c>
      <c r="U217" s="3">
        <v>475</v>
      </c>
      <c r="V217" s="3">
        <v>247</v>
      </c>
      <c r="W217" s="3">
        <v>370</v>
      </c>
      <c r="X217" s="3">
        <v>20.130399348003259</v>
      </c>
      <c r="Y217" s="3">
        <v>0.66756756756756752</v>
      </c>
    </row>
    <row r="218" spans="1:25">
      <c r="A218" s="3" t="s">
        <v>461</v>
      </c>
      <c r="B218" s="3">
        <v>0</v>
      </c>
      <c r="C218" s="3">
        <v>0</v>
      </c>
      <c r="D218" s="3">
        <v>0</v>
      </c>
      <c r="E218" s="3">
        <v>1</v>
      </c>
      <c r="F218" s="3">
        <v>0</v>
      </c>
      <c r="G218" s="3">
        <v>1</v>
      </c>
      <c r="H218" s="3">
        <v>21</v>
      </c>
      <c r="I218" s="3">
        <v>170</v>
      </c>
      <c r="J218" s="3">
        <v>75</v>
      </c>
      <c r="K218" s="3">
        <v>25.95155709342561</v>
      </c>
      <c r="L218" s="3">
        <v>12</v>
      </c>
      <c r="M218" s="3">
        <v>6</v>
      </c>
      <c r="N218" s="3">
        <v>44</v>
      </c>
      <c r="O218" s="3">
        <v>24</v>
      </c>
      <c r="P218" s="3">
        <v>10</v>
      </c>
      <c r="Q218" s="3" t="s">
        <v>462</v>
      </c>
      <c r="R218" s="3">
        <v>65</v>
      </c>
      <c r="S218" s="3">
        <v>61</v>
      </c>
      <c r="T218" s="3">
        <v>3666</v>
      </c>
      <c r="U218" s="3">
        <v>1956</v>
      </c>
      <c r="V218" s="3">
        <v>857</v>
      </c>
      <c r="W218" s="3">
        <v>726</v>
      </c>
      <c r="X218" s="3">
        <v>50.116959064327489</v>
      </c>
      <c r="Y218" s="3">
        <v>1.1804407713498624</v>
      </c>
    </row>
    <row r="219" spans="1:25">
      <c r="A219" s="3" t="s">
        <v>463</v>
      </c>
      <c r="B219" s="3">
        <v>1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45</v>
      </c>
      <c r="I219" s="3">
        <v>155</v>
      </c>
      <c r="J219" s="3">
        <v>52</v>
      </c>
      <c r="K219" s="3">
        <v>21.644120707596251</v>
      </c>
      <c r="L219" s="3">
        <v>6</v>
      </c>
      <c r="M219" s="3">
        <v>9</v>
      </c>
      <c r="N219" s="3">
        <v>62</v>
      </c>
      <c r="O219" s="3">
        <v>6</v>
      </c>
      <c r="P219" s="3">
        <v>5</v>
      </c>
      <c r="Q219" s="3" t="s">
        <v>464</v>
      </c>
      <c r="R219" s="3">
        <v>79</v>
      </c>
      <c r="S219" s="3">
        <v>25</v>
      </c>
      <c r="T219" s="3">
        <v>628</v>
      </c>
      <c r="U219" s="3">
        <v>364</v>
      </c>
      <c r="V219" s="3">
        <v>117</v>
      </c>
      <c r="W219" s="3">
        <v>110</v>
      </c>
      <c r="X219" s="3">
        <v>44.31818181818182</v>
      </c>
      <c r="Y219" s="3">
        <v>1.0636363636363637</v>
      </c>
    </row>
    <row r="220" spans="1:25">
      <c r="A220" s="3" t="s">
        <v>465</v>
      </c>
      <c r="B220" s="3">
        <v>0</v>
      </c>
      <c r="C220" s="3">
        <v>1</v>
      </c>
      <c r="D220" s="3">
        <v>1</v>
      </c>
      <c r="E220" s="3">
        <v>0</v>
      </c>
      <c r="F220" s="3">
        <v>1</v>
      </c>
      <c r="G220" s="3">
        <v>0</v>
      </c>
      <c r="H220" s="3">
        <v>58</v>
      </c>
      <c r="I220" s="3">
        <v>148</v>
      </c>
      <c r="J220" s="3">
        <v>64.2</v>
      </c>
      <c r="K220" s="3">
        <v>29.309715120525933</v>
      </c>
      <c r="L220" s="3">
        <v>5</v>
      </c>
      <c r="M220" s="3">
        <v>6</v>
      </c>
      <c r="N220" s="3">
        <v>36</v>
      </c>
      <c r="O220" s="3">
        <v>15</v>
      </c>
      <c r="P220" s="3">
        <v>5</v>
      </c>
      <c r="Q220" s="3" t="s">
        <v>466</v>
      </c>
      <c r="R220" s="3">
        <v>72</v>
      </c>
      <c r="S220" s="3">
        <v>18</v>
      </c>
      <c r="T220" s="3">
        <v>343</v>
      </c>
      <c r="U220" s="3">
        <v>241</v>
      </c>
      <c r="V220" s="3">
        <v>61</v>
      </c>
      <c r="W220" s="3">
        <v>32</v>
      </c>
      <c r="X220" s="3">
        <v>59.803921568627452</v>
      </c>
      <c r="Y220" s="3">
        <v>1.90625</v>
      </c>
    </row>
    <row r="221" spans="1:25">
      <c r="A221" s="3" t="s">
        <v>467</v>
      </c>
      <c r="B221" s="3">
        <v>0</v>
      </c>
      <c r="C221" s="3">
        <v>1</v>
      </c>
      <c r="D221" s="3">
        <v>0</v>
      </c>
      <c r="E221" s="3">
        <v>0</v>
      </c>
      <c r="F221" s="3">
        <v>1</v>
      </c>
      <c r="G221" s="3">
        <v>1</v>
      </c>
      <c r="H221" s="3">
        <v>65</v>
      </c>
      <c r="I221" s="3">
        <v>158</v>
      </c>
      <c r="J221" s="3">
        <v>55.5</v>
      </c>
      <c r="K221" s="3">
        <v>22.232014100304436</v>
      </c>
      <c r="L221" s="3">
        <v>13</v>
      </c>
      <c r="M221" s="3">
        <v>31</v>
      </c>
      <c r="N221" s="3">
        <v>73</v>
      </c>
      <c r="O221" s="3">
        <v>18</v>
      </c>
      <c r="P221" s="3">
        <v>21</v>
      </c>
      <c r="Q221" s="3" t="s">
        <v>468</v>
      </c>
      <c r="R221" s="3">
        <v>81</v>
      </c>
      <c r="S221" s="3">
        <v>25</v>
      </c>
      <c r="T221" s="3">
        <v>678</v>
      </c>
      <c r="U221" s="3">
        <v>410</v>
      </c>
      <c r="V221" s="3">
        <v>115</v>
      </c>
      <c r="W221" s="3">
        <v>120</v>
      </c>
      <c r="X221" s="3">
        <v>42.910447761194028</v>
      </c>
      <c r="Y221" s="3">
        <v>0.95833333333333337</v>
      </c>
    </row>
    <row r="222" spans="1:25">
      <c r="A222" s="3" t="s">
        <v>469</v>
      </c>
      <c r="B222" s="3">
        <v>1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30</v>
      </c>
      <c r="I222" s="3">
        <v>158.5</v>
      </c>
      <c r="J222" s="3">
        <v>68</v>
      </c>
      <c r="K222" s="3">
        <v>27.06763924409637</v>
      </c>
      <c r="L222" s="3">
        <v>0</v>
      </c>
      <c r="M222" s="3">
        <v>15</v>
      </c>
      <c r="N222" s="3">
        <v>51</v>
      </c>
      <c r="O222" s="3">
        <v>2</v>
      </c>
      <c r="P222" s="3">
        <v>0</v>
      </c>
      <c r="Q222" s="3" t="s">
        <v>470</v>
      </c>
      <c r="R222" s="3">
        <v>65</v>
      </c>
      <c r="S222" s="3">
        <v>63</v>
      </c>
      <c r="T222" s="3">
        <v>3844</v>
      </c>
      <c r="U222" s="3">
        <v>1730</v>
      </c>
      <c r="V222" s="3">
        <v>636</v>
      </c>
      <c r="W222" s="3">
        <v>1211</v>
      </c>
      <c r="X222" s="3">
        <v>30.085146641438033</v>
      </c>
      <c r="Y222" s="3">
        <v>0.52518579686209743</v>
      </c>
    </row>
    <row r="223" spans="1:25">
      <c r="A223" s="3" t="s">
        <v>471</v>
      </c>
      <c r="B223" s="3">
        <v>1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36</v>
      </c>
      <c r="I223" s="3">
        <v>162</v>
      </c>
      <c r="J223" s="3">
        <v>52</v>
      </c>
      <c r="K223" s="3">
        <v>19.814052735863431</v>
      </c>
      <c r="L223" s="3">
        <v>3</v>
      </c>
      <c r="M223" s="3">
        <v>5</v>
      </c>
      <c r="N223" s="3">
        <v>59</v>
      </c>
      <c r="O223" s="3">
        <v>7</v>
      </c>
      <c r="P223" s="3">
        <v>1</v>
      </c>
      <c r="Q223" s="3" t="s">
        <v>472</v>
      </c>
      <c r="R223" s="3">
        <v>69</v>
      </c>
      <c r="S223" s="3">
        <v>34</v>
      </c>
      <c r="T223" s="3">
        <v>1121</v>
      </c>
      <c r="U223" s="3">
        <v>204</v>
      </c>
      <c r="V223" s="3">
        <v>481</v>
      </c>
      <c r="W223" s="3">
        <v>366</v>
      </c>
      <c r="X223" s="3">
        <v>52.453653217011997</v>
      </c>
      <c r="Y223" s="3">
        <v>1.3142076502732241</v>
      </c>
    </row>
    <row r="224" spans="1:25">
      <c r="A224" s="3" t="s">
        <v>473</v>
      </c>
      <c r="B224" s="3">
        <v>1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37</v>
      </c>
      <c r="I224" s="3">
        <v>160</v>
      </c>
      <c r="J224" s="3">
        <v>72</v>
      </c>
      <c r="K224" s="3">
        <v>28.124999999999993</v>
      </c>
      <c r="L224" s="3">
        <v>8</v>
      </c>
      <c r="M224" s="3">
        <v>30</v>
      </c>
      <c r="N224" s="3">
        <v>67</v>
      </c>
      <c r="O224" s="3">
        <v>22</v>
      </c>
      <c r="P224" s="3">
        <v>19</v>
      </c>
      <c r="Q224" s="3" t="s">
        <v>474</v>
      </c>
      <c r="R224" s="3">
        <v>80</v>
      </c>
      <c r="S224" s="3">
        <v>42</v>
      </c>
      <c r="T224" s="3">
        <v>1902</v>
      </c>
      <c r="U224" s="3">
        <v>1234</v>
      </c>
      <c r="V224" s="3">
        <v>351</v>
      </c>
      <c r="W224" s="3">
        <v>271</v>
      </c>
      <c r="X224" s="3">
        <v>52.544910179640716</v>
      </c>
      <c r="Y224" s="3">
        <v>1.2952029520295203</v>
      </c>
    </row>
    <row r="225" spans="1:25">
      <c r="A225" s="3" t="s">
        <v>475</v>
      </c>
      <c r="B225" s="3">
        <v>0</v>
      </c>
      <c r="C225" s="3">
        <v>1</v>
      </c>
      <c r="D225" s="3">
        <v>0</v>
      </c>
      <c r="E225" s="3">
        <v>1</v>
      </c>
      <c r="F225" s="3">
        <v>0</v>
      </c>
      <c r="G225" s="3">
        <v>1</v>
      </c>
      <c r="H225" s="3">
        <v>63</v>
      </c>
      <c r="I225" s="3">
        <v>158</v>
      </c>
      <c r="J225" s="3">
        <v>55</v>
      </c>
      <c r="K225" s="3">
        <v>22.031725684986377</v>
      </c>
      <c r="L225" s="3">
        <v>8</v>
      </c>
      <c r="M225" s="3">
        <v>20</v>
      </c>
      <c r="N225" s="3">
        <v>48</v>
      </c>
      <c r="O225" s="3">
        <v>26</v>
      </c>
      <c r="P225" s="3">
        <v>26</v>
      </c>
      <c r="Q225" s="3" t="s">
        <v>476</v>
      </c>
      <c r="R225" s="3">
        <v>91</v>
      </c>
      <c r="S225" s="3">
        <v>20</v>
      </c>
      <c r="T225" s="3">
        <v>468</v>
      </c>
      <c r="U225" s="3">
        <v>220</v>
      </c>
      <c r="V225" s="3">
        <v>135</v>
      </c>
      <c r="W225" s="3">
        <v>89</v>
      </c>
      <c r="X225" s="3">
        <v>54.435483870967744</v>
      </c>
      <c r="Y225" s="3">
        <v>1.5168539325842696</v>
      </c>
    </row>
    <row r="226" spans="1:25">
      <c r="A226" s="3" t="s">
        <v>477</v>
      </c>
      <c r="B226" s="3">
        <v>0</v>
      </c>
      <c r="C226" s="3">
        <v>1</v>
      </c>
      <c r="D226" s="3">
        <v>0</v>
      </c>
      <c r="E226" s="3">
        <v>0</v>
      </c>
      <c r="F226" s="3">
        <v>1</v>
      </c>
      <c r="G226" s="3">
        <v>1</v>
      </c>
      <c r="H226" s="3">
        <v>40</v>
      </c>
      <c r="I226" s="3">
        <v>170</v>
      </c>
      <c r="J226" s="3">
        <v>75</v>
      </c>
      <c r="K226" s="3">
        <v>25.95155709342561</v>
      </c>
      <c r="L226" s="3">
        <v>11</v>
      </c>
      <c r="M226" s="3">
        <v>30</v>
      </c>
      <c r="N226" s="3">
        <v>44</v>
      </c>
      <c r="O226" s="3">
        <v>21</v>
      </c>
      <c r="P226" s="3">
        <v>14</v>
      </c>
      <c r="Q226" s="3" t="s">
        <v>478</v>
      </c>
      <c r="R226" s="3">
        <v>78</v>
      </c>
      <c r="S226" s="3">
        <v>25</v>
      </c>
      <c r="T226" s="3">
        <v>669</v>
      </c>
      <c r="U226" s="3">
        <v>369</v>
      </c>
      <c r="V226" s="3">
        <v>215</v>
      </c>
      <c r="W226" s="3">
        <v>64</v>
      </c>
      <c r="X226" s="3">
        <v>71.666666666666671</v>
      </c>
      <c r="Y226" s="3">
        <v>3.359375</v>
      </c>
    </row>
    <row r="227" spans="1:25">
      <c r="A227" s="3" t="s">
        <v>479</v>
      </c>
      <c r="B227" s="3">
        <v>1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38</v>
      </c>
      <c r="I227" s="3">
        <v>162</v>
      </c>
      <c r="J227" s="3">
        <v>58</v>
      </c>
      <c r="K227" s="3">
        <v>22.10028959000152</v>
      </c>
      <c r="L227" s="3">
        <v>7</v>
      </c>
      <c r="M227" s="3">
        <v>15</v>
      </c>
      <c r="N227" s="3">
        <v>49</v>
      </c>
      <c r="O227" s="3">
        <v>2</v>
      </c>
      <c r="P227" s="3">
        <v>6</v>
      </c>
      <c r="Q227" s="3" t="s">
        <v>480</v>
      </c>
      <c r="R227" s="3">
        <v>113</v>
      </c>
      <c r="S227" s="3">
        <v>10</v>
      </c>
      <c r="T227" s="3">
        <v>128</v>
      </c>
      <c r="U227" s="3">
        <v>58</v>
      </c>
      <c r="V227" s="3">
        <v>51</v>
      </c>
      <c r="W227" s="3">
        <v>14</v>
      </c>
      <c r="X227" s="3">
        <v>72.857142857142861</v>
      </c>
      <c r="Y227" s="3">
        <v>3.6428571428571428</v>
      </c>
    </row>
    <row r="228" spans="1:25">
      <c r="A228" s="3" t="s">
        <v>481</v>
      </c>
      <c r="B228" s="3">
        <v>1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40</v>
      </c>
      <c r="I228" s="3">
        <v>168</v>
      </c>
      <c r="J228" s="3">
        <v>60</v>
      </c>
      <c r="K228" s="3">
        <v>21.258503401360546</v>
      </c>
      <c r="L228" s="3">
        <v>2</v>
      </c>
      <c r="M228" s="3">
        <v>33</v>
      </c>
      <c r="N228" s="3">
        <v>39</v>
      </c>
      <c r="O228" s="3">
        <v>13</v>
      </c>
      <c r="P228" s="3">
        <v>5</v>
      </c>
      <c r="Q228" s="3" t="s">
        <v>482</v>
      </c>
      <c r="R228" s="3">
        <v>95</v>
      </c>
      <c r="S228" s="3">
        <v>23</v>
      </c>
      <c r="T228" s="3">
        <v>797</v>
      </c>
      <c r="U228" s="3">
        <v>489</v>
      </c>
      <c r="V228" s="3">
        <v>213</v>
      </c>
      <c r="W228" s="3">
        <v>79</v>
      </c>
      <c r="X228" s="3">
        <v>69.15584415584415</v>
      </c>
      <c r="Y228" s="3">
        <v>2.6962025316455698</v>
      </c>
    </row>
    <row r="229" spans="1:25">
      <c r="A229" s="3" t="s">
        <v>483</v>
      </c>
      <c r="B229" s="3">
        <v>0</v>
      </c>
      <c r="C229" s="3">
        <v>1</v>
      </c>
      <c r="D229" s="3">
        <v>1</v>
      </c>
      <c r="E229" s="3">
        <v>0</v>
      </c>
      <c r="F229" s="3">
        <v>1</v>
      </c>
      <c r="G229" s="3">
        <v>1</v>
      </c>
      <c r="H229" s="3">
        <v>39</v>
      </c>
      <c r="I229" s="3">
        <v>181</v>
      </c>
      <c r="J229" s="3">
        <v>71</v>
      </c>
      <c r="K229" s="3">
        <v>21.672110130948383</v>
      </c>
      <c r="L229" s="3">
        <v>4</v>
      </c>
      <c r="M229" s="3">
        <v>10</v>
      </c>
      <c r="N229" s="3">
        <v>52</v>
      </c>
      <c r="O229" s="3">
        <v>21</v>
      </c>
      <c r="P229" s="3">
        <v>29</v>
      </c>
      <c r="Q229" s="3" t="s">
        <v>484</v>
      </c>
      <c r="R229" s="3">
        <v>82</v>
      </c>
      <c r="S229" s="3">
        <v>34</v>
      </c>
      <c r="T229" s="3">
        <v>1190</v>
      </c>
      <c r="U229" s="3">
        <v>544</v>
      </c>
      <c r="V229" s="3">
        <v>335</v>
      </c>
      <c r="W229" s="3">
        <v>234</v>
      </c>
      <c r="X229" s="3">
        <v>51.857585139318886</v>
      </c>
      <c r="Y229" s="3">
        <v>1.4316239316239316</v>
      </c>
    </row>
    <row r="230" spans="1:25">
      <c r="A230" s="3" t="s">
        <v>485</v>
      </c>
      <c r="B230" s="3">
        <v>0</v>
      </c>
      <c r="C230" s="3">
        <v>0</v>
      </c>
      <c r="D230" s="3">
        <v>1</v>
      </c>
      <c r="E230" s="3">
        <v>0</v>
      </c>
      <c r="F230" s="3">
        <v>1</v>
      </c>
      <c r="G230" s="3">
        <v>0</v>
      </c>
      <c r="H230" s="3">
        <v>70</v>
      </c>
      <c r="I230" s="3">
        <v>150</v>
      </c>
      <c r="J230" s="3">
        <v>60</v>
      </c>
      <c r="K230" s="3">
        <v>26.666666666666668</v>
      </c>
      <c r="L230" s="3">
        <v>2</v>
      </c>
      <c r="M230" s="3">
        <v>14</v>
      </c>
      <c r="N230" s="3">
        <v>59</v>
      </c>
      <c r="O230" s="3">
        <v>0</v>
      </c>
      <c r="P230" s="3">
        <v>2</v>
      </c>
      <c r="Q230" s="3" t="s">
        <v>486</v>
      </c>
      <c r="R230" s="3">
        <v>75</v>
      </c>
      <c r="S230" s="3">
        <v>24</v>
      </c>
      <c r="T230" s="3">
        <v>612</v>
      </c>
      <c r="U230" s="3">
        <v>499</v>
      </c>
      <c r="V230" s="3">
        <v>85</v>
      </c>
      <c r="W230" s="3">
        <v>23</v>
      </c>
      <c r="X230" s="3">
        <v>75.221238938053091</v>
      </c>
      <c r="Y230" s="3">
        <v>3.6956521739130435</v>
      </c>
    </row>
    <row r="231" spans="1:25">
      <c r="A231" s="3" t="s">
        <v>487</v>
      </c>
      <c r="B231" s="3">
        <v>0</v>
      </c>
      <c r="C231" s="3">
        <v>1</v>
      </c>
      <c r="D231" s="3">
        <v>1</v>
      </c>
      <c r="E231" s="3">
        <v>1</v>
      </c>
      <c r="F231" s="3">
        <v>0</v>
      </c>
      <c r="G231" s="3">
        <v>0</v>
      </c>
      <c r="H231" s="3">
        <v>50</v>
      </c>
      <c r="I231" s="3">
        <v>162</v>
      </c>
      <c r="J231" s="3">
        <v>51</v>
      </c>
      <c r="K231" s="3">
        <v>19.433013260173752</v>
      </c>
      <c r="L231" s="3">
        <v>20</v>
      </c>
      <c r="M231" s="3">
        <v>26</v>
      </c>
      <c r="N231" s="3">
        <v>75</v>
      </c>
      <c r="O231" s="3">
        <v>13</v>
      </c>
      <c r="P231" s="3">
        <v>42</v>
      </c>
      <c r="Q231" s="3" t="s">
        <v>488</v>
      </c>
      <c r="R231" s="3">
        <v>63</v>
      </c>
      <c r="S231" s="3">
        <v>30</v>
      </c>
      <c r="T231" s="3">
        <v>960</v>
      </c>
      <c r="U231" s="3">
        <v>316</v>
      </c>
      <c r="V231" s="3">
        <v>474</v>
      </c>
      <c r="W231" s="3">
        <v>148</v>
      </c>
      <c r="X231" s="3">
        <v>73.602484472049696</v>
      </c>
      <c r="Y231" s="3">
        <v>3.2027027027027026</v>
      </c>
    </row>
    <row r="232" spans="1:25">
      <c r="A232" s="3" t="s">
        <v>489</v>
      </c>
      <c r="B232" s="3">
        <v>0</v>
      </c>
      <c r="C232" s="3">
        <v>1</v>
      </c>
      <c r="D232" s="3">
        <v>0</v>
      </c>
      <c r="E232" s="3">
        <v>1</v>
      </c>
      <c r="F232" s="3">
        <v>1</v>
      </c>
      <c r="G232" s="3">
        <v>0</v>
      </c>
      <c r="H232" s="3">
        <v>30</v>
      </c>
      <c r="I232" s="3">
        <v>158</v>
      </c>
      <c r="J232" s="3">
        <v>60</v>
      </c>
      <c r="K232" s="3">
        <v>24.034609838166958</v>
      </c>
      <c r="L232" s="3">
        <v>18</v>
      </c>
      <c r="M232" s="3">
        <v>37</v>
      </c>
      <c r="N232" s="3">
        <v>80</v>
      </c>
      <c r="O232" s="3">
        <v>37</v>
      </c>
      <c r="P232" s="3">
        <v>36</v>
      </c>
      <c r="Q232" s="3" t="s">
        <v>490</v>
      </c>
      <c r="R232" s="3">
        <v>79</v>
      </c>
      <c r="S232" s="3">
        <v>41</v>
      </c>
      <c r="T232" s="3">
        <v>1784</v>
      </c>
      <c r="U232" s="3">
        <v>877</v>
      </c>
      <c r="V232" s="3">
        <v>600</v>
      </c>
      <c r="W232" s="3">
        <v>260</v>
      </c>
      <c r="X232" s="3">
        <v>66.152149944873202</v>
      </c>
      <c r="Y232" s="3">
        <v>2.3076923076923075</v>
      </c>
    </row>
    <row r="233" spans="1:25">
      <c r="A233" s="3" t="s">
        <v>491</v>
      </c>
      <c r="B233" s="3">
        <v>1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40</v>
      </c>
      <c r="I233" s="3">
        <v>152</v>
      </c>
      <c r="J233" s="3">
        <v>66</v>
      </c>
      <c r="K233" s="3">
        <v>28.566481994459835</v>
      </c>
      <c r="L233" s="3">
        <v>8</v>
      </c>
      <c r="M233" s="3">
        <v>15</v>
      </c>
      <c r="N233" s="3">
        <v>46</v>
      </c>
      <c r="O233" s="3">
        <v>2</v>
      </c>
      <c r="P233" s="3">
        <v>6</v>
      </c>
      <c r="Q233" s="3" t="s">
        <v>492</v>
      </c>
      <c r="R233" s="3">
        <v>87</v>
      </c>
      <c r="S233" s="3">
        <v>27</v>
      </c>
      <c r="T233" s="3">
        <v>694</v>
      </c>
      <c r="U233" s="3">
        <v>306</v>
      </c>
      <c r="V233" s="3">
        <v>187</v>
      </c>
      <c r="W233" s="3">
        <v>142</v>
      </c>
      <c r="X233" s="3">
        <v>48.195876288659797</v>
      </c>
      <c r="Y233" s="3">
        <v>1.3169014084507042</v>
      </c>
    </row>
    <row r="234" spans="1:25">
      <c r="A234" s="3" t="s">
        <v>493</v>
      </c>
      <c r="B234" s="3">
        <v>1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38</v>
      </c>
      <c r="I234" s="3">
        <v>165</v>
      </c>
      <c r="J234" s="3">
        <v>64</v>
      </c>
      <c r="K234" s="3">
        <v>23.507805325987146</v>
      </c>
      <c r="L234" s="3">
        <v>3</v>
      </c>
      <c r="M234" s="3">
        <v>10</v>
      </c>
      <c r="N234" s="3">
        <v>35</v>
      </c>
      <c r="O234" s="3">
        <v>3</v>
      </c>
      <c r="P234" s="3">
        <v>2</v>
      </c>
      <c r="Q234" s="3" t="s">
        <v>494</v>
      </c>
      <c r="R234" s="3">
        <v>99</v>
      </c>
      <c r="S234" s="3">
        <v>16</v>
      </c>
      <c r="T234" s="3">
        <v>235</v>
      </c>
      <c r="U234" s="3">
        <v>141</v>
      </c>
      <c r="V234" s="3">
        <v>31</v>
      </c>
      <c r="W234" s="3">
        <v>49</v>
      </c>
      <c r="X234" s="3">
        <v>32.978723404255319</v>
      </c>
      <c r="Y234" s="3">
        <v>0.63265306122448983</v>
      </c>
    </row>
    <row r="235" spans="1:25">
      <c r="A235" s="3" t="s">
        <v>495</v>
      </c>
      <c r="B235" s="3">
        <v>0</v>
      </c>
      <c r="C235" s="3">
        <v>1</v>
      </c>
      <c r="D235" s="3">
        <v>1</v>
      </c>
      <c r="E235" s="3">
        <v>0</v>
      </c>
      <c r="F235" s="3">
        <v>0</v>
      </c>
      <c r="G235" s="3">
        <v>0</v>
      </c>
      <c r="H235" s="3">
        <v>20</v>
      </c>
      <c r="I235" s="3">
        <v>155</v>
      </c>
      <c r="J235" s="3">
        <v>53</v>
      </c>
      <c r="K235" s="3">
        <v>22.060353798126947</v>
      </c>
      <c r="L235" s="3">
        <v>11</v>
      </c>
      <c r="M235" s="3">
        <v>23</v>
      </c>
      <c r="N235" s="3">
        <v>64</v>
      </c>
      <c r="O235" s="3">
        <v>20</v>
      </c>
      <c r="P235" s="3">
        <v>14</v>
      </c>
      <c r="Q235" s="3" t="s">
        <v>496</v>
      </c>
      <c r="R235" s="3">
        <v>98</v>
      </c>
      <c r="S235" s="3">
        <v>37</v>
      </c>
      <c r="T235" s="3">
        <v>1675</v>
      </c>
      <c r="U235" s="3">
        <v>1094</v>
      </c>
      <c r="V235" s="3">
        <v>436</v>
      </c>
      <c r="W235" s="3">
        <v>120</v>
      </c>
      <c r="X235" s="3">
        <v>75.043029259896727</v>
      </c>
      <c r="Y235" s="3">
        <v>3.6333333333333333</v>
      </c>
    </row>
    <row r="236" spans="1:25">
      <c r="A236" s="3" t="s">
        <v>497</v>
      </c>
      <c r="B236" s="3">
        <v>0</v>
      </c>
      <c r="C236" s="3">
        <v>1</v>
      </c>
      <c r="D236" s="3">
        <v>0</v>
      </c>
      <c r="E236" s="3">
        <v>0</v>
      </c>
      <c r="F236" s="3">
        <v>1</v>
      </c>
      <c r="G236" s="3">
        <v>1</v>
      </c>
      <c r="H236" s="3">
        <v>49</v>
      </c>
      <c r="I236" s="3">
        <v>168</v>
      </c>
      <c r="J236" s="3">
        <v>63</v>
      </c>
      <c r="K236" s="3">
        <v>22.321428571428577</v>
      </c>
      <c r="L236" s="3">
        <v>5</v>
      </c>
      <c r="M236" s="3">
        <v>9</v>
      </c>
      <c r="N236" s="3">
        <v>37</v>
      </c>
      <c r="O236" s="3">
        <v>4</v>
      </c>
      <c r="P236" s="3">
        <v>3</v>
      </c>
      <c r="Q236" s="3" t="s">
        <v>498</v>
      </c>
      <c r="R236" s="3">
        <v>68</v>
      </c>
      <c r="S236" s="3">
        <v>47</v>
      </c>
      <c r="T236" s="3">
        <v>1892</v>
      </c>
      <c r="U236" s="3">
        <v>629</v>
      </c>
      <c r="V236" s="3">
        <v>381</v>
      </c>
      <c r="W236" s="3">
        <v>429</v>
      </c>
      <c r="X236" s="3">
        <v>30.166270783847981</v>
      </c>
      <c r="Y236" s="3">
        <v>0.88811188811188813</v>
      </c>
    </row>
    <row r="237" spans="1:25">
      <c r="A237" s="3" t="s">
        <v>499</v>
      </c>
      <c r="B237" s="3">
        <v>0</v>
      </c>
      <c r="C237" s="3">
        <v>0</v>
      </c>
      <c r="D237" s="3">
        <v>0</v>
      </c>
      <c r="E237" s="3">
        <v>1</v>
      </c>
      <c r="F237" s="3">
        <v>1</v>
      </c>
      <c r="G237" s="3">
        <v>0</v>
      </c>
      <c r="H237" s="3">
        <v>34</v>
      </c>
      <c r="I237" s="3">
        <v>158</v>
      </c>
      <c r="J237" s="3">
        <v>44</v>
      </c>
      <c r="K237" s="3">
        <v>17.625380547989103</v>
      </c>
      <c r="L237" s="3">
        <v>15</v>
      </c>
      <c r="M237" s="3">
        <v>11</v>
      </c>
      <c r="N237" s="3">
        <v>58</v>
      </c>
      <c r="O237" s="3">
        <v>31</v>
      </c>
      <c r="P237" s="3">
        <v>26</v>
      </c>
      <c r="Q237" s="3" t="s">
        <v>500</v>
      </c>
      <c r="R237" s="3">
        <v>115</v>
      </c>
      <c r="S237" s="3">
        <v>135</v>
      </c>
      <c r="T237" s="3">
        <v>16172</v>
      </c>
      <c r="U237" s="3">
        <v>2591</v>
      </c>
      <c r="V237" s="3">
        <v>2977</v>
      </c>
      <c r="W237" s="3">
        <v>5367</v>
      </c>
      <c r="X237" s="3">
        <v>21.920329872616154</v>
      </c>
      <c r="Y237" s="3">
        <v>0.55468604434507174</v>
      </c>
    </row>
    <row r="238" spans="1:25">
      <c r="A238" s="3" t="s">
        <v>501</v>
      </c>
      <c r="B238" s="3">
        <v>0</v>
      </c>
      <c r="C238" s="3">
        <v>0</v>
      </c>
      <c r="D238" s="3">
        <v>0</v>
      </c>
      <c r="E238" s="3">
        <v>1</v>
      </c>
      <c r="F238" s="3">
        <v>0</v>
      </c>
      <c r="G238" s="3">
        <v>1</v>
      </c>
      <c r="H238" s="3">
        <v>32</v>
      </c>
      <c r="I238" s="3">
        <v>170</v>
      </c>
      <c r="J238" s="3">
        <v>115</v>
      </c>
      <c r="K238" s="3">
        <v>39.792387543252602</v>
      </c>
      <c r="L238" s="3">
        <v>6</v>
      </c>
      <c r="M238" s="3">
        <v>8</v>
      </c>
      <c r="N238" s="3">
        <v>39</v>
      </c>
      <c r="O238" s="3">
        <v>17</v>
      </c>
      <c r="P238" s="3">
        <v>8</v>
      </c>
      <c r="Q238" s="3" t="s">
        <v>502</v>
      </c>
      <c r="R238" s="3">
        <v>71</v>
      </c>
      <c r="S238" s="3">
        <v>42</v>
      </c>
      <c r="T238" s="3">
        <v>1940</v>
      </c>
      <c r="U238" s="3">
        <v>1207</v>
      </c>
      <c r="V238" s="3">
        <v>483</v>
      </c>
      <c r="W238" s="3">
        <v>222</v>
      </c>
      <c r="X238" s="3">
        <v>65.893587994542969</v>
      </c>
      <c r="Y238" s="3">
        <v>2.1756756756756759</v>
      </c>
    </row>
    <row r="239" spans="1:25">
      <c r="A239" s="3" t="s">
        <v>503</v>
      </c>
      <c r="B239" s="3">
        <v>0</v>
      </c>
      <c r="C239" s="3">
        <v>1</v>
      </c>
      <c r="D239" s="3">
        <v>0</v>
      </c>
      <c r="E239" s="3">
        <v>0</v>
      </c>
      <c r="F239" s="3">
        <v>1</v>
      </c>
      <c r="G239" s="3">
        <v>0</v>
      </c>
      <c r="H239" s="3">
        <v>46</v>
      </c>
      <c r="I239" s="3">
        <v>161</v>
      </c>
      <c r="J239" s="3">
        <v>69</v>
      </c>
      <c r="K239" s="3">
        <v>26.619343389529721</v>
      </c>
      <c r="L239" s="3">
        <v>10</v>
      </c>
      <c r="M239" s="3">
        <v>36</v>
      </c>
      <c r="N239" s="3">
        <v>78</v>
      </c>
      <c r="O239" s="3">
        <v>19</v>
      </c>
      <c r="P239" s="3">
        <v>34</v>
      </c>
      <c r="Q239" s="3" t="s">
        <v>504</v>
      </c>
      <c r="R239" s="3">
        <v>70</v>
      </c>
      <c r="S239" s="3">
        <v>37</v>
      </c>
      <c r="T239" s="3">
        <v>1296</v>
      </c>
      <c r="U239" s="3">
        <v>271</v>
      </c>
      <c r="V239" s="3">
        <v>285</v>
      </c>
      <c r="W239" s="3">
        <v>669</v>
      </c>
      <c r="X239" s="3">
        <v>27.804878048780488</v>
      </c>
      <c r="Y239" s="3">
        <v>0.42600896860986548</v>
      </c>
    </row>
    <row r="240" spans="1:25">
      <c r="A240" s="3" t="s">
        <v>505</v>
      </c>
      <c r="B240" s="3">
        <v>1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36</v>
      </c>
      <c r="I240" s="3">
        <v>163</v>
      </c>
      <c r="J240" s="3">
        <v>66</v>
      </c>
      <c r="K240" s="3">
        <v>24.840980089578082</v>
      </c>
      <c r="L240" s="3">
        <v>8</v>
      </c>
      <c r="M240" s="3">
        <v>10</v>
      </c>
      <c r="N240" s="3">
        <v>68</v>
      </c>
      <c r="O240" s="3">
        <v>11</v>
      </c>
      <c r="P240" s="3">
        <v>14</v>
      </c>
      <c r="Q240" s="3" t="s">
        <v>506</v>
      </c>
      <c r="R240" s="3">
        <v>96</v>
      </c>
      <c r="S240" s="3">
        <v>18</v>
      </c>
      <c r="T240" s="3">
        <v>399</v>
      </c>
      <c r="U240" s="3">
        <v>192</v>
      </c>
      <c r="V240" s="3">
        <v>132</v>
      </c>
      <c r="W240" s="3">
        <v>45</v>
      </c>
      <c r="X240" s="3">
        <v>63.768115942028984</v>
      </c>
      <c r="Y240" s="3">
        <v>2.9333333333333331</v>
      </c>
    </row>
    <row r="241" spans="1:25">
      <c r="A241" s="3" t="s">
        <v>507</v>
      </c>
      <c r="B241" s="3">
        <v>0</v>
      </c>
      <c r="C241" s="3">
        <v>1</v>
      </c>
      <c r="D241" s="3">
        <v>1</v>
      </c>
      <c r="E241" s="3">
        <v>0</v>
      </c>
      <c r="F241" s="3">
        <v>1</v>
      </c>
      <c r="G241" s="3">
        <v>0</v>
      </c>
      <c r="H241" s="3">
        <v>56</v>
      </c>
      <c r="I241" s="3">
        <v>155</v>
      </c>
      <c r="J241" s="3">
        <v>52</v>
      </c>
      <c r="K241" s="3">
        <v>21.644120707596251</v>
      </c>
      <c r="L241" s="3">
        <v>7</v>
      </c>
      <c r="M241" s="3">
        <v>24</v>
      </c>
      <c r="N241" s="3">
        <v>60</v>
      </c>
      <c r="O241" s="3">
        <v>17</v>
      </c>
      <c r="P241" s="3">
        <v>7</v>
      </c>
      <c r="Q241" s="3" t="s">
        <v>508</v>
      </c>
      <c r="R241" s="3">
        <v>81</v>
      </c>
      <c r="S241" s="3">
        <v>22</v>
      </c>
      <c r="T241" s="3">
        <v>483</v>
      </c>
      <c r="U241" s="3">
        <v>237</v>
      </c>
      <c r="V241" s="3">
        <v>65</v>
      </c>
      <c r="W241" s="3">
        <v>160</v>
      </c>
      <c r="X241" s="3">
        <v>26.422764227642276</v>
      </c>
      <c r="Y241" s="3">
        <v>0.40625</v>
      </c>
    </row>
    <row r="242" spans="1:25">
      <c r="A242" s="3" t="s">
        <v>509</v>
      </c>
      <c r="B242" s="3">
        <v>0</v>
      </c>
      <c r="C242" s="3">
        <v>1</v>
      </c>
      <c r="D242" s="3">
        <v>0</v>
      </c>
      <c r="E242" s="3">
        <v>0</v>
      </c>
      <c r="F242" s="3">
        <v>1</v>
      </c>
      <c r="G242" s="3">
        <v>0</v>
      </c>
      <c r="H242" s="3">
        <v>40</v>
      </c>
      <c r="I242" s="3">
        <v>161</v>
      </c>
      <c r="J242" s="3">
        <v>50</v>
      </c>
      <c r="K242" s="3">
        <v>19.289379267775161</v>
      </c>
      <c r="L242" s="3">
        <v>13</v>
      </c>
      <c r="M242" s="3">
        <v>47</v>
      </c>
      <c r="N242" s="3">
        <v>65</v>
      </c>
      <c r="O242" s="3">
        <v>29</v>
      </c>
      <c r="P242" s="3">
        <v>22</v>
      </c>
      <c r="Q242" s="3" t="s">
        <v>510</v>
      </c>
      <c r="R242" s="3">
        <v>81</v>
      </c>
      <c r="S242" s="3">
        <v>30</v>
      </c>
      <c r="T242" s="3">
        <v>1022</v>
      </c>
      <c r="U242" s="3">
        <v>490</v>
      </c>
      <c r="V242" s="3">
        <v>166</v>
      </c>
      <c r="W242" s="3">
        <v>285</v>
      </c>
      <c r="X242" s="3">
        <v>31.203007518796994</v>
      </c>
      <c r="Y242" s="3">
        <v>0.58245614035087723</v>
      </c>
    </row>
    <row r="243" spans="1:25">
      <c r="A243" s="3" t="s">
        <v>511</v>
      </c>
      <c r="B243" s="3">
        <v>0</v>
      </c>
      <c r="C243" s="3">
        <v>1</v>
      </c>
      <c r="D243" s="3">
        <v>0</v>
      </c>
      <c r="E243" s="3">
        <v>0</v>
      </c>
      <c r="F243" s="3">
        <v>1</v>
      </c>
      <c r="G243" s="3">
        <v>0</v>
      </c>
      <c r="H243" s="3">
        <v>30</v>
      </c>
      <c r="I243" s="3">
        <v>158</v>
      </c>
      <c r="J243" s="3">
        <v>82</v>
      </c>
      <c r="K243" s="3">
        <v>32.847300112161506</v>
      </c>
      <c r="L243" s="3">
        <v>16</v>
      </c>
      <c r="M243" s="3">
        <v>58</v>
      </c>
      <c r="N243" s="3">
        <v>56</v>
      </c>
      <c r="O243" s="3">
        <v>7</v>
      </c>
      <c r="P243" s="3">
        <v>31</v>
      </c>
      <c r="Q243" s="3" t="s">
        <v>512</v>
      </c>
      <c r="R243" s="3">
        <v>80</v>
      </c>
      <c r="S243" s="3">
        <v>50</v>
      </c>
      <c r="T243" s="3">
        <v>2686</v>
      </c>
      <c r="U243" s="3">
        <v>624</v>
      </c>
      <c r="V243" s="3">
        <v>572</v>
      </c>
      <c r="W243" s="3">
        <v>1388</v>
      </c>
      <c r="X243" s="3">
        <v>27.740058195926284</v>
      </c>
      <c r="Y243" s="3">
        <v>0.41210374639769454</v>
      </c>
    </row>
    <row r="244" spans="1:25">
      <c r="A244" s="3" t="s">
        <v>513</v>
      </c>
      <c r="B244" s="3">
        <v>1</v>
      </c>
      <c r="C244" s="3">
        <v>0</v>
      </c>
      <c r="D244" s="3">
        <v>0</v>
      </c>
      <c r="E244" s="3">
        <v>0</v>
      </c>
      <c r="F244" s="3">
        <v>0</v>
      </c>
      <c r="G244" s="3">
        <v>1</v>
      </c>
      <c r="H244" s="3">
        <v>41</v>
      </c>
      <c r="I244" s="3">
        <v>173</v>
      </c>
      <c r="J244" s="3">
        <v>78</v>
      </c>
      <c r="K244" s="3">
        <v>26.061679307694877</v>
      </c>
      <c r="L244" s="3">
        <v>4</v>
      </c>
      <c r="M244" s="3">
        <v>11</v>
      </c>
      <c r="N244" s="3">
        <v>57</v>
      </c>
      <c r="O244" s="3">
        <v>15</v>
      </c>
      <c r="P244" s="3">
        <v>10</v>
      </c>
      <c r="Q244" s="3" t="s">
        <v>514</v>
      </c>
      <c r="R244" s="3">
        <v>96</v>
      </c>
      <c r="S244" s="3">
        <v>37</v>
      </c>
      <c r="T244" s="3">
        <v>1415</v>
      </c>
      <c r="U244" s="3">
        <v>308</v>
      </c>
      <c r="V244" s="3">
        <v>390</v>
      </c>
      <c r="W244" s="3">
        <v>363</v>
      </c>
      <c r="X244" s="3">
        <v>35.230352303523034</v>
      </c>
      <c r="Y244" s="3">
        <v>1.0743801652892562</v>
      </c>
    </row>
    <row r="245" spans="1:25" s="4" customFormat="1">
      <c r="A245" s="4" t="s">
        <v>515</v>
      </c>
      <c r="B245" s="3">
        <v>0</v>
      </c>
      <c r="C245" s="4">
        <v>0</v>
      </c>
      <c r="D245" s="4">
        <v>0</v>
      </c>
      <c r="E245" s="4">
        <v>1</v>
      </c>
      <c r="F245" s="4">
        <v>0</v>
      </c>
      <c r="G245" s="3">
        <v>0</v>
      </c>
      <c r="H245" s="4">
        <v>38</v>
      </c>
      <c r="I245" s="4">
        <v>164</v>
      </c>
      <c r="J245" s="4">
        <v>51</v>
      </c>
      <c r="K245" s="4">
        <v>18.961927424152293</v>
      </c>
      <c r="L245" s="4">
        <v>4</v>
      </c>
      <c r="M245" s="4">
        <v>3</v>
      </c>
      <c r="N245" s="4">
        <v>37</v>
      </c>
      <c r="O245" s="4">
        <v>29</v>
      </c>
      <c r="P245" s="4">
        <v>9</v>
      </c>
      <c r="Q245" s="3" t="s">
        <v>516</v>
      </c>
      <c r="R245" s="4">
        <v>91</v>
      </c>
      <c r="S245" s="4">
        <v>32</v>
      </c>
      <c r="T245" s="4">
        <v>1084</v>
      </c>
      <c r="U245" s="4">
        <v>757</v>
      </c>
      <c r="V245" s="4">
        <v>187</v>
      </c>
      <c r="W245" s="4">
        <v>110</v>
      </c>
      <c r="X245" s="4">
        <v>57.186544342507645</v>
      </c>
      <c r="Y245" s="4">
        <v>1.7</v>
      </c>
    </row>
    <row r="246" spans="1:25">
      <c r="A246" s="3" t="s">
        <v>517</v>
      </c>
      <c r="B246" s="3">
        <v>1</v>
      </c>
      <c r="C246" s="3">
        <v>0</v>
      </c>
      <c r="D246" s="3">
        <v>0</v>
      </c>
      <c r="E246" s="3">
        <v>0</v>
      </c>
      <c r="F246" s="3">
        <v>0</v>
      </c>
      <c r="G246" s="3">
        <v>1</v>
      </c>
      <c r="H246" s="3">
        <v>46</v>
      </c>
      <c r="I246" s="3">
        <v>175</v>
      </c>
      <c r="J246" s="3">
        <v>98</v>
      </c>
      <c r="K246" s="3">
        <v>32</v>
      </c>
      <c r="L246" s="3">
        <v>4</v>
      </c>
      <c r="M246" s="3">
        <v>3</v>
      </c>
      <c r="N246" s="3">
        <v>51</v>
      </c>
      <c r="O246" s="3">
        <v>0</v>
      </c>
      <c r="P246" s="3">
        <v>5</v>
      </c>
      <c r="Q246" s="3" t="s">
        <v>518</v>
      </c>
      <c r="R246" s="3">
        <v>97</v>
      </c>
      <c r="S246" s="3">
        <v>6</v>
      </c>
      <c r="T246" s="3">
        <v>54</v>
      </c>
      <c r="U246" s="3">
        <v>36</v>
      </c>
      <c r="V246" s="3">
        <v>11</v>
      </c>
      <c r="W246" s="3">
        <v>4</v>
      </c>
      <c r="X246" s="3">
        <v>61.111111111111114</v>
      </c>
      <c r="Y246" s="3">
        <v>2.75</v>
      </c>
    </row>
    <row r="247" spans="1:25">
      <c r="A247" s="3" t="s">
        <v>519</v>
      </c>
      <c r="B247" s="3">
        <v>0</v>
      </c>
      <c r="C247" s="3">
        <v>0</v>
      </c>
      <c r="D247" s="3">
        <v>0</v>
      </c>
      <c r="E247" s="3">
        <v>1</v>
      </c>
      <c r="F247" s="3">
        <v>0</v>
      </c>
      <c r="G247" s="3">
        <v>0</v>
      </c>
      <c r="H247" s="3">
        <v>43</v>
      </c>
      <c r="I247" s="3">
        <v>160</v>
      </c>
      <c r="J247" s="3">
        <v>90</v>
      </c>
      <c r="K247" s="3">
        <v>35.156249999999993</v>
      </c>
      <c r="L247" s="3">
        <v>20</v>
      </c>
      <c r="M247" s="3">
        <v>22</v>
      </c>
      <c r="N247" s="3">
        <v>64</v>
      </c>
      <c r="O247" s="3">
        <v>25</v>
      </c>
      <c r="P247" s="3">
        <v>32</v>
      </c>
      <c r="Q247" s="3" t="s">
        <v>520</v>
      </c>
      <c r="R247" s="3">
        <v>78</v>
      </c>
      <c r="S247" s="3">
        <v>20</v>
      </c>
      <c r="T247" s="3">
        <v>478</v>
      </c>
      <c r="U247" s="3">
        <v>234</v>
      </c>
      <c r="V247" s="3">
        <v>206</v>
      </c>
      <c r="W247" s="3">
        <v>23</v>
      </c>
      <c r="X247" s="3">
        <v>84.426229508196727</v>
      </c>
      <c r="Y247" s="3">
        <v>8.9565217391304355</v>
      </c>
    </row>
    <row r="248" spans="1:25">
      <c r="A248" s="3" t="s">
        <v>521</v>
      </c>
      <c r="B248" s="3">
        <v>0</v>
      </c>
      <c r="C248" s="3">
        <v>0</v>
      </c>
      <c r="D248" s="3">
        <v>0</v>
      </c>
      <c r="E248" s="3">
        <v>1</v>
      </c>
      <c r="F248" s="3">
        <v>0</v>
      </c>
      <c r="G248" s="3">
        <v>0</v>
      </c>
      <c r="H248" s="3">
        <v>32</v>
      </c>
      <c r="I248" s="3">
        <v>158</v>
      </c>
      <c r="J248" s="3">
        <v>58</v>
      </c>
      <c r="K248" s="3">
        <v>23.233456176894723</v>
      </c>
      <c r="L248" s="3">
        <v>9</v>
      </c>
      <c r="M248" s="3">
        <v>9</v>
      </c>
      <c r="N248" s="3">
        <v>67</v>
      </c>
      <c r="O248" s="3">
        <v>18</v>
      </c>
      <c r="P248" s="3">
        <v>8</v>
      </c>
      <c r="Q248" s="3" t="s">
        <v>522</v>
      </c>
      <c r="R248" s="3">
        <v>78</v>
      </c>
      <c r="S248" s="3">
        <v>46</v>
      </c>
      <c r="T248" s="3">
        <v>2142</v>
      </c>
      <c r="U248" s="3">
        <v>1091</v>
      </c>
      <c r="V248" s="3">
        <v>693</v>
      </c>
      <c r="W248" s="3">
        <v>276</v>
      </c>
      <c r="X248" s="3">
        <v>65.937202664129401</v>
      </c>
      <c r="Y248" s="3">
        <v>2.5108695652173911</v>
      </c>
    </row>
    <row r="249" spans="1:25">
      <c r="A249" s="3" t="s">
        <v>523</v>
      </c>
      <c r="B249" s="3">
        <v>0</v>
      </c>
      <c r="C249" s="3">
        <v>1</v>
      </c>
      <c r="D249" s="3">
        <v>1</v>
      </c>
      <c r="E249" s="3">
        <v>0</v>
      </c>
      <c r="F249" s="3">
        <v>0</v>
      </c>
      <c r="G249" s="3">
        <v>1</v>
      </c>
      <c r="H249" s="3">
        <v>30</v>
      </c>
      <c r="I249" s="3">
        <v>180</v>
      </c>
      <c r="J249" s="3">
        <v>93</v>
      </c>
      <c r="K249" s="3">
        <v>28.703703703703702</v>
      </c>
      <c r="L249" s="3">
        <v>12</v>
      </c>
      <c r="M249" s="3">
        <v>29</v>
      </c>
      <c r="N249" s="3">
        <v>41</v>
      </c>
      <c r="O249" s="3">
        <v>8</v>
      </c>
      <c r="P249" s="3">
        <v>19</v>
      </c>
      <c r="Q249" s="3" t="s">
        <v>524</v>
      </c>
      <c r="R249" s="3">
        <v>86</v>
      </c>
      <c r="S249" s="3">
        <v>47</v>
      </c>
      <c r="T249" s="3">
        <v>2523</v>
      </c>
      <c r="U249" s="3">
        <v>1320</v>
      </c>
      <c r="V249" s="3">
        <v>966</v>
      </c>
      <c r="W249" s="3">
        <v>194</v>
      </c>
      <c r="X249" s="3">
        <v>80.299251870324184</v>
      </c>
      <c r="Y249" s="3">
        <v>4.9793814432989691</v>
      </c>
    </row>
    <row r="250" spans="1:25">
      <c r="A250" s="3" t="s">
        <v>525</v>
      </c>
      <c r="B250" s="3">
        <v>1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39</v>
      </c>
      <c r="I250" s="3">
        <v>150</v>
      </c>
      <c r="J250" s="3">
        <v>43</v>
      </c>
      <c r="K250" s="3">
        <v>19.111111111111111</v>
      </c>
      <c r="L250" s="3">
        <v>9</v>
      </c>
      <c r="M250" s="3">
        <v>25</v>
      </c>
      <c r="N250" s="3">
        <v>72</v>
      </c>
      <c r="O250" s="3">
        <v>10</v>
      </c>
      <c r="P250" s="3">
        <v>7</v>
      </c>
      <c r="Q250" s="3" t="s">
        <v>526</v>
      </c>
      <c r="R250" s="3">
        <v>74</v>
      </c>
      <c r="S250" s="3">
        <v>52</v>
      </c>
      <c r="T250" s="3">
        <v>2955</v>
      </c>
      <c r="U250" s="3">
        <v>1605</v>
      </c>
      <c r="V250" s="3">
        <v>783</v>
      </c>
      <c r="W250" s="3">
        <v>410</v>
      </c>
      <c r="X250" s="3">
        <v>58</v>
      </c>
      <c r="Y250" s="3">
        <v>1.9097560975609755</v>
      </c>
    </row>
    <row r="251" spans="1:25">
      <c r="A251" s="3" t="s">
        <v>527</v>
      </c>
      <c r="B251" s="3">
        <v>1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41</v>
      </c>
      <c r="I251" s="3">
        <v>152</v>
      </c>
      <c r="J251" s="3">
        <v>50</v>
      </c>
      <c r="K251" s="3">
        <v>21.641274238227147</v>
      </c>
      <c r="L251" s="3">
        <v>7</v>
      </c>
      <c r="M251" s="3">
        <v>15</v>
      </c>
      <c r="N251" s="3">
        <v>40</v>
      </c>
      <c r="O251" s="3">
        <v>11</v>
      </c>
      <c r="P251" s="3">
        <v>6</v>
      </c>
      <c r="Q251" s="3" t="s">
        <v>528</v>
      </c>
      <c r="R251" s="3">
        <v>67</v>
      </c>
      <c r="S251" s="3">
        <v>30</v>
      </c>
      <c r="T251" s="3">
        <v>988</v>
      </c>
      <c r="U251" s="3">
        <v>383</v>
      </c>
      <c r="V251" s="3">
        <v>391</v>
      </c>
      <c r="W251" s="3">
        <v>169</v>
      </c>
      <c r="X251" s="3">
        <v>64.628099173553721</v>
      </c>
      <c r="Y251" s="3">
        <v>2.3136094674556213</v>
      </c>
    </row>
    <row r="252" spans="1:25">
      <c r="A252" s="3" t="s">
        <v>529</v>
      </c>
      <c r="B252" s="3">
        <v>1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26</v>
      </c>
      <c r="I252" s="3">
        <v>161</v>
      </c>
      <c r="J252" s="3">
        <v>48</v>
      </c>
      <c r="K252" s="3">
        <v>18.517804097064154</v>
      </c>
      <c r="L252" s="3">
        <v>1</v>
      </c>
      <c r="M252" s="3">
        <v>4</v>
      </c>
      <c r="N252" s="3">
        <v>34</v>
      </c>
      <c r="O252" s="3">
        <v>6</v>
      </c>
      <c r="P252" s="3">
        <v>2</v>
      </c>
      <c r="Q252" s="3" t="s">
        <v>530</v>
      </c>
      <c r="R252" s="3">
        <v>68</v>
      </c>
      <c r="S252" s="3">
        <v>31</v>
      </c>
      <c r="T252" s="3">
        <v>932</v>
      </c>
      <c r="U252" s="3">
        <v>456</v>
      </c>
      <c r="V252" s="3">
        <v>160</v>
      </c>
      <c r="W252" s="3">
        <v>276</v>
      </c>
      <c r="X252" s="3">
        <v>33.613445378151262</v>
      </c>
      <c r="Y252" s="3">
        <v>0.57971014492753625</v>
      </c>
    </row>
    <row r="253" spans="1:25">
      <c r="A253" s="3" t="s">
        <v>531</v>
      </c>
      <c r="B253" s="3">
        <v>1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28</v>
      </c>
      <c r="I253" s="3">
        <v>155</v>
      </c>
      <c r="J253" s="3">
        <v>56</v>
      </c>
      <c r="K253" s="3">
        <v>23.309053069719038</v>
      </c>
      <c r="L253" s="3">
        <v>6</v>
      </c>
      <c r="M253" s="3">
        <v>10</v>
      </c>
      <c r="N253" s="3">
        <v>58</v>
      </c>
      <c r="O253" s="3">
        <v>1</v>
      </c>
      <c r="P253" s="3">
        <v>2</v>
      </c>
      <c r="Q253" s="3" t="s">
        <v>532</v>
      </c>
      <c r="R253" s="3">
        <v>92</v>
      </c>
      <c r="S253" s="3">
        <v>24</v>
      </c>
      <c r="T253" s="3">
        <v>585</v>
      </c>
      <c r="U253" s="3">
        <v>119</v>
      </c>
      <c r="V253" s="3">
        <v>201</v>
      </c>
      <c r="W253" s="3">
        <v>221</v>
      </c>
      <c r="X253" s="3">
        <v>43.133047210300433</v>
      </c>
      <c r="Y253" s="3">
        <v>0.9095022624434389</v>
      </c>
    </row>
    <row r="254" spans="1:25">
      <c r="A254" s="3" t="s">
        <v>533</v>
      </c>
      <c r="B254" s="3">
        <v>0</v>
      </c>
      <c r="C254" s="3">
        <v>1</v>
      </c>
      <c r="D254" s="3">
        <v>0</v>
      </c>
      <c r="E254" s="3">
        <v>1</v>
      </c>
      <c r="F254" s="3">
        <v>0</v>
      </c>
      <c r="G254" s="3">
        <v>0</v>
      </c>
      <c r="H254" s="3">
        <v>34</v>
      </c>
      <c r="I254" s="3">
        <v>156</v>
      </c>
      <c r="J254" s="3">
        <v>98</v>
      </c>
      <c r="K254" s="3">
        <v>40.269559500328725</v>
      </c>
      <c r="L254" s="3">
        <v>18</v>
      </c>
      <c r="M254" s="3">
        <v>31</v>
      </c>
      <c r="N254" s="3">
        <v>93</v>
      </c>
      <c r="O254" s="3">
        <v>40</v>
      </c>
      <c r="P254" s="3">
        <v>36</v>
      </c>
      <c r="Q254" s="3" t="s">
        <v>534</v>
      </c>
      <c r="R254" s="3">
        <v>111</v>
      </c>
      <c r="S254" s="3">
        <v>11</v>
      </c>
      <c r="T254" s="3">
        <v>148</v>
      </c>
      <c r="U254" s="3">
        <v>91</v>
      </c>
      <c r="V254" s="3">
        <v>39</v>
      </c>
      <c r="W254" s="3">
        <v>7</v>
      </c>
      <c r="X254" s="3">
        <v>68.421052631578945</v>
      </c>
      <c r="Y254" s="3">
        <v>5.5714285714285712</v>
      </c>
    </row>
    <row r="255" spans="1:25" ht="15.6" customHeight="1">
      <c r="A255" s="3" t="s">
        <v>535</v>
      </c>
      <c r="B255" s="3">
        <v>0</v>
      </c>
      <c r="C255" s="3">
        <v>1</v>
      </c>
      <c r="D255" s="3">
        <v>1</v>
      </c>
      <c r="E255" s="3">
        <v>0</v>
      </c>
      <c r="F255" s="3">
        <v>1</v>
      </c>
      <c r="G255" s="3">
        <v>0</v>
      </c>
      <c r="H255" s="3">
        <v>55</v>
      </c>
      <c r="I255" s="3">
        <v>163</v>
      </c>
      <c r="J255" s="3">
        <v>61</v>
      </c>
      <c r="K255" s="3">
        <v>22.959087658549439</v>
      </c>
      <c r="L255" s="3">
        <v>9</v>
      </c>
      <c r="M255" s="3">
        <v>16</v>
      </c>
      <c r="N255" s="3">
        <v>54</v>
      </c>
      <c r="O255" s="3">
        <v>8</v>
      </c>
      <c r="P255" s="3">
        <v>16</v>
      </c>
      <c r="Q255" s="3" t="s">
        <v>536</v>
      </c>
      <c r="R255" s="3">
        <v>96</v>
      </c>
      <c r="S255" s="3">
        <v>11</v>
      </c>
      <c r="T255" s="3">
        <v>130</v>
      </c>
      <c r="U255" s="3">
        <v>76</v>
      </c>
      <c r="V255" s="3">
        <v>32</v>
      </c>
      <c r="W255" s="3">
        <v>16</v>
      </c>
      <c r="X255" s="3">
        <v>59.25925925925926</v>
      </c>
      <c r="Y255" s="3">
        <v>2</v>
      </c>
    </row>
    <row r="256" spans="1:25">
      <c r="A256" s="3" t="s">
        <v>537</v>
      </c>
      <c r="B256" s="3">
        <v>1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25</v>
      </c>
      <c r="I256" s="3">
        <v>160</v>
      </c>
      <c r="J256" s="3">
        <v>56</v>
      </c>
      <c r="K256" s="3">
        <v>21.874999999999996</v>
      </c>
      <c r="L256" s="3">
        <v>7</v>
      </c>
      <c r="M256" s="3">
        <v>14</v>
      </c>
      <c r="N256" s="3">
        <v>73</v>
      </c>
      <c r="O256" s="3">
        <v>2</v>
      </c>
      <c r="P256" s="3">
        <v>4</v>
      </c>
      <c r="Q256" s="3" t="s">
        <v>538</v>
      </c>
      <c r="R256" s="3">
        <v>95</v>
      </c>
      <c r="S256" s="3">
        <v>18</v>
      </c>
      <c r="T256" s="3">
        <v>419</v>
      </c>
      <c r="U256" s="3">
        <v>185</v>
      </c>
      <c r="V256" s="3">
        <v>177</v>
      </c>
      <c r="W256" s="3">
        <v>35</v>
      </c>
      <c r="X256" s="3">
        <v>75.641025641025635</v>
      </c>
      <c r="Y256" s="3">
        <v>5.0571428571428569</v>
      </c>
    </row>
    <row r="257" spans="1:25">
      <c r="A257" s="3" t="s">
        <v>539</v>
      </c>
      <c r="B257" s="3">
        <v>1</v>
      </c>
      <c r="C257" s="3">
        <v>0</v>
      </c>
      <c r="D257" s="3">
        <v>0</v>
      </c>
      <c r="E257" s="3">
        <v>0</v>
      </c>
      <c r="F257" s="3">
        <v>0</v>
      </c>
      <c r="G257" s="3">
        <v>1</v>
      </c>
      <c r="H257" s="3">
        <v>33</v>
      </c>
      <c r="I257" s="3">
        <v>174</v>
      </c>
      <c r="J257" s="3">
        <v>73</v>
      </c>
      <c r="K257" s="3">
        <v>24.111507464658473</v>
      </c>
      <c r="L257" s="3">
        <v>8</v>
      </c>
      <c r="M257" s="3">
        <v>4</v>
      </c>
      <c r="N257" s="3">
        <v>39</v>
      </c>
      <c r="O257" s="3">
        <v>11</v>
      </c>
      <c r="P257" s="3">
        <v>6</v>
      </c>
      <c r="Q257" s="3" t="s">
        <v>540</v>
      </c>
      <c r="R257" s="3">
        <v>75</v>
      </c>
      <c r="S257" s="3">
        <v>46</v>
      </c>
      <c r="T257" s="3">
        <v>2205</v>
      </c>
      <c r="U257" s="3">
        <v>875</v>
      </c>
      <c r="V257" s="3">
        <v>994</v>
      </c>
      <c r="W257" s="3">
        <v>262</v>
      </c>
      <c r="X257" s="3">
        <v>74.736842105263165</v>
      </c>
      <c r="Y257" s="3">
        <v>3.7938931297709924</v>
      </c>
    </row>
    <row r="258" spans="1:25">
      <c r="A258" s="3" t="s">
        <v>541</v>
      </c>
      <c r="B258" s="3">
        <v>1</v>
      </c>
      <c r="C258" s="3">
        <v>0</v>
      </c>
      <c r="D258" s="3">
        <v>0</v>
      </c>
      <c r="E258" s="3">
        <v>0</v>
      </c>
      <c r="F258" s="3">
        <v>0</v>
      </c>
      <c r="G258" s="3">
        <v>1</v>
      </c>
      <c r="H258" s="3">
        <v>46</v>
      </c>
      <c r="I258" s="3">
        <v>176</v>
      </c>
      <c r="J258" s="3">
        <v>90</v>
      </c>
      <c r="K258" s="3">
        <v>29.054752066115704</v>
      </c>
      <c r="L258" s="3">
        <v>2</v>
      </c>
      <c r="M258" s="3">
        <v>5</v>
      </c>
      <c r="N258" s="3">
        <v>28</v>
      </c>
      <c r="O258" s="3">
        <v>3</v>
      </c>
      <c r="P258" s="3">
        <v>0</v>
      </c>
      <c r="Q258" s="3" t="s">
        <v>542</v>
      </c>
      <c r="R258" s="3">
        <v>79</v>
      </c>
      <c r="S258" s="3">
        <v>26</v>
      </c>
      <c r="T258" s="3">
        <v>709</v>
      </c>
      <c r="U258" s="3">
        <v>392</v>
      </c>
      <c r="V258" s="3">
        <v>230</v>
      </c>
      <c r="W258" s="3">
        <v>70</v>
      </c>
      <c r="X258" s="3">
        <v>72.555205047318609</v>
      </c>
      <c r="Y258" s="3">
        <v>3.2857142857142856</v>
      </c>
    </row>
    <row r="259" spans="1:25" ht="15.6" customHeight="1">
      <c r="A259" s="3" t="s">
        <v>543</v>
      </c>
      <c r="B259" s="3">
        <v>1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37</v>
      </c>
      <c r="I259" s="3">
        <v>151</v>
      </c>
      <c r="J259" s="3">
        <v>75</v>
      </c>
      <c r="K259" s="3">
        <v>32.893294153765183</v>
      </c>
      <c r="L259" s="3">
        <v>3</v>
      </c>
      <c r="M259" s="3">
        <v>3</v>
      </c>
      <c r="N259" s="3">
        <v>56</v>
      </c>
      <c r="O259" s="3">
        <v>2</v>
      </c>
      <c r="P259" s="3">
        <v>1</v>
      </c>
      <c r="Q259" s="3" t="s">
        <v>544</v>
      </c>
      <c r="R259" s="3">
        <v>85</v>
      </c>
      <c r="S259" s="3">
        <v>30</v>
      </c>
      <c r="T259" s="3">
        <v>952</v>
      </c>
      <c r="U259" s="3">
        <v>524</v>
      </c>
      <c r="V259" s="3">
        <v>126</v>
      </c>
      <c r="W259" s="3">
        <v>261</v>
      </c>
      <c r="X259" s="3">
        <v>29.439252336448597</v>
      </c>
      <c r="Y259" s="3">
        <v>0.48275862068965519</v>
      </c>
    </row>
    <row r="260" spans="1:25">
      <c r="A260" s="3" t="s">
        <v>545</v>
      </c>
      <c r="B260" s="3">
        <v>0</v>
      </c>
      <c r="C260" s="3">
        <v>1</v>
      </c>
      <c r="D260" s="3">
        <v>0</v>
      </c>
      <c r="E260" s="3">
        <v>1</v>
      </c>
      <c r="F260" s="3">
        <v>0</v>
      </c>
      <c r="G260" s="3">
        <v>0</v>
      </c>
      <c r="H260" s="3">
        <v>49</v>
      </c>
      <c r="I260" s="3">
        <v>171</v>
      </c>
      <c r="J260" s="3">
        <v>80</v>
      </c>
      <c r="K260" s="3">
        <v>27.358845456721728</v>
      </c>
      <c r="L260" s="3">
        <v>8</v>
      </c>
      <c r="M260" s="3">
        <v>32</v>
      </c>
      <c r="N260" s="3">
        <v>77</v>
      </c>
      <c r="O260" s="3">
        <v>30</v>
      </c>
      <c r="P260" s="3">
        <v>34</v>
      </c>
      <c r="Q260" s="3" t="s">
        <v>546</v>
      </c>
      <c r="R260" s="3">
        <v>95</v>
      </c>
      <c r="S260" s="3">
        <v>12</v>
      </c>
      <c r="T260" s="3">
        <v>215</v>
      </c>
      <c r="U260" s="3">
        <v>154</v>
      </c>
      <c r="V260" s="3">
        <v>35</v>
      </c>
      <c r="W260" s="3">
        <v>22</v>
      </c>
      <c r="X260" s="3">
        <v>57.377049180327866</v>
      </c>
      <c r="Y260" s="3">
        <v>1.5909090909090908</v>
      </c>
    </row>
    <row r="261" spans="1:25">
      <c r="A261" s="3" t="s">
        <v>547</v>
      </c>
      <c r="B261" s="3">
        <v>0</v>
      </c>
      <c r="C261" s="3">
        <v>1</v>
      </c>
      <c r="D261" s="3">
        <v>0</v>
      </c>
      <c r="E261" s="3">
        <v>0</v>
      </c>
      <c r="F261" s="3">
        <v>1</v>
      </c>
      <c r="G261" s="3">
        <v>0</v>
      </c>
      <c r="H261" s="3">
        <v>48</v>
      </c>
      <c r="I261" s="3">
        <v>158</v>
      </c>
      <c r="J261" s="3">
        <v>82</v>
      </c>
      <c r="K261" s="3">
        <v>32.847300112161506</v>
      </c>
      <c r="L261" s="3">
        <v>10</v>
      </c>
      <c r="M261" s="3">
        <v>16</v>
      </c>
      <c r="N261" s="3">
        <v>60</v>
      </c>
      <c r="O261" s="3">
        <v>5</v>
      </c>
      <c r="P261" s="3">
        <v>17</v>
      </c>
      <c r="Q261" s="3" t="s">
        <v>548</v>
      </c>
      <c r="R261" s="3">
        <v>62</v>
      </c>
      <c r="S261" s="3">
        <v>36</v>
      </c>
      <c r="T261" s="3">
        <v>1169</v>
      </c>
      <c r="U261" s="3">
        <v>564</v>
      </c>
      <c r="V261" s="3">
        <v>168</v>
      </c>
      <c r="W261" s="3">
        <v>370</v>
      </c>
      <c r="X261" s="3">
        <v>27.768595041322314</v>
      </c>
      <c r="Y261" s="3">
        <v>0.45405405405405408</v>
      </c>
    </row>
    <row r="262" spans="1:25">
      <c r="A262" s="3" t="s">
        <v>549</v>
      </c>
      <c r="B262" s="3">
        <v>0</v>
      </c>
      <c r="C262" s="3">
        <v>1</v>
      </c>
      <c r="D262" s="3">
        <v>0</v>
      </c>
      <c r="E262" s="3">
        <v>0</v>
      </c>
      <c r="F262" s="3">
        <v>0</v>
      </c>
      <c r="G262" s="3">
        <v>1</v>
      </c>
      <c r="H262" s="3">
        <v>31</v>
      </c>
      <c r="I262" s="3">
        <v>175</v>
      </c>
      <c r="J262" s="3">
        <v>91</v>
      </c>
      <c r="K262" s="3">
        <v>29.714285714285715</v>
      </c>
      <c r="L262" s="3">
        <v>8</v>
      </c>
      <c r="M262" s="3">
        <v>22</v>
      </c>
      <c r="N262" s="3">
        <v>32</v>
      </c>
      <c r="O262" s="3">
        <v>8</v>
      </c>
      <c r="P262" s="3">
        <v>10</v>
      </c>
      <c r="Q262" s="3" t="s">
        <v>550</v>
      </c>
      <c r="R262" s="3">
        <v>89</v>
      </c>
      <c r="S262" s="3">
        <v>42</v>
      </c>
      <c r="T262" s="3">
        <v>2018</v>
      </c>
      <c r="U262" s="3">
        <v>746</v>
      </c>
      <c r="V262" s="3">
        <v>855</v>
      </c>
      <c r="W262" s="3">
        <v>320</v>
      </c>
      <c r="X262" s="3">
        <v>67.216981132075475</v>
      </c>
      <c r="Y262" s="3">
        <v>2.671875</v>
      </c>
    </row>
    <row r="263" spans="1:25">
      <c r="A263" s="3" t="s">
        <v>551</v>
      </c>
      <c r="B263" s="3">
        <v>0</v>
      </c>
      <c r="C263" s="3">
        <v>1</v>
      </c>
      <c r="D263" s="3">
        <v>1</v>
      </c>
      <c r="E263" s="3">
        <v>0</v>
      </c>
      <c r="F263" s="3">
        <v>1</v>
      </c>
      <c r="G263" s="3">
        <v>0</v>
      </c>
      <c r="H263" s="3">
        <v>57</v>
      </c>
      <c r="I263" s="3">
        <v>162</v>
      </c>
      <c r="J263" s="3">
        <v>48</v>
      </c>
      <c r="K263" s="3">
        <v>18.289894833104707</v>
      </c>
      <c r="L263" s="3">
        <v>14</v>
      </c>
      <c r="M263" s="3">
        <v>19</v>
      </c>
      <c r="N263" s="3">
        <v>41</v>
      </c>
      <c r="O263" s="3">
        <v>21</v>
      </c>
      <c r="P263" s="3">
        <v>27</v>
      </c>
      <c r="Q263" s="3" t="s">
        <v>552</v>
      </c>
      <c r="R263" s="3">
        <v>71</v>
      </c>
      <c r="S263" s="3">
        <v>40</v>
      </c>
      <c r="T263" s="3">
        <v>1489</v>
      </c>
      <c r="U263" s="3">
        <v>792</v>
      </c>
      <c r="V263" s="3">
        <v>225</v>
      </c>
      <c r="W263" s="3">
        <v>313</v>
      </c>
      <c r="X263" s="3">
        <v>32.281205164992826</v>
      </c>
      <c r="Y263" s="3">
        <v>0.71884984025559107</v>
      </c>
    </row>
    <row r="264" spans="1:25">
      <c r="A264" s="3" t="s">
        <v>553</v>
      </c>
      <c r="B264" s="3">
        <v>1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29</v>
      </c>
      <c r="I264" s="3">
        <v>163</v>
      </c>
      <c r="J264" s="3">
        <v>50</v>
      </c>
      <c r="K264" s="3">
        <v>18.818924310286427</v>
      </c>
      <c r="L264" s="3">
        <v>4</v>
      </c>
      <c r="M264" s="3">
        <v>12</v>
      </c>
      <c r="N264" s="3">
        <v>44</v>
      </c>
      <c r="O264" s="3">
        <v>3</v>
      </c>
      <c r="P264" s="3">
        <v>5</v>
      </c>
      <c r="Q264" s="3" t="s">
        <v>554</v>
      </c>
      <c r="R264" s="3">
        <v>80</v>
      </c>
      <c r="S264" s="3">
        <v>38</v>
      </c>
      <c r="T264" s="3">
        <v>1391</v>
      </c>
      <c r="U264" s="3">
        <v>205</v>
      </c>
      <c r="V264" s="3">
        <v>622</v>
      </c>
      <c r="W264" s="3">
        <v>391</v>
      </c>
      <c r="X264" s="3">
        <v>52.445193929173691</v>
      </c>
      <c r="Y264" s="3">
        <v>1.5907928388746804</v>
      </c>
    </row>
    <row r="265" spans="1:25">
      <c r="A265" s="3" t="s">
        <v>555</v>
      </c>
      <c r="B265" s="3">
        <v>1</v>
      </c>
      <c r="C265" s="3">
        <v>0</v>
      </c>
      <c r="D265" s="3">
        <v>0</v>
      </c>
      <c r="E265" s="3">
        <v>0</v>
      </c>
      <c r="F265" s="3">
        <v>0</v>
      </c>
      <c r="G265" s="3">
        <v>1</v>
      </c>
      <c r="H265" s="3">
        <v>53</v>
      </c>
      <c r="I265" s="3">
        <v>160</v>
      </c>
      <c r="J265" s="3">
        <v>65</v>
      </c>
      <c r="K265" s="3">
        <v>25.390624999999996</v>
      </c>
      <c r="L265" s="3">
        <v>2</v>
      </c>
      <c r="M265" s="3">
        <v>11</v>
      </c>
      <c r="N265" s="3">
        <v>33</v>
      </c>
      <c r="O265" s="3">
        <v>2</v>
      </c>
      <c r="P265" s="3">
        <v>3</v>
      </c>
      <c r="Q265" s="3" t="s">
        <v>556</v>
      </c>
      <c r="R265" s="3">
        <v>90</v>
      </c>
      <c r="S265" s="3">
        <v>26</v>
      </c>
      <c r="T265" s="3">
        <v>726</v>
      </c>
      <c r="U265" s="3">
        <v>419</v>
      </c>
      <c r="V265" s="3">
        <v>209</v>
      </c>
      <c r="W265" s="3">
        <v>91</v>
      </c>
      <c r="X265" s="3">
        <v>68.078175895765469</v>
      </c>
      <c r="Y265" s="3">
        <v>2.2967032967032965</v>
      </c>
    </row>
    <row r="266" spans="1:25">
      <c r="A266" s="3" t="s">
        <v>557</v>
      </c>
      <c r="B266" s="3">
        <v>1</v>
      </c>
      <c r="C266" s="3">
        <v>0</v>
      </c>
      <c r="D266" s="3">
        <v>0</v>
      </c>
      <c r="E266" s="3">
        <v>0</v>
      </c>
      <c r="F266" s="3">
        <v>0</v>
      </c>
      <c r="G266" s="3">
        <v>1</v>
      </c>
      <c r="H266" s="3">
        <v>50</v>
      </c>
      <c r="I266" s="3">
        <v>183</v>
      </c>
      <c r="J266" s="3">
        <v>88</v>
      </c>
      <c r="K266" s="3">
        <v>26.277285078682549</v>
      </c>
      <c r="L266" s="3">
        <v>3</v>
      </c>
      <c r="M266" s="3">
        <v>17</v>
      </c>
      <c r="N266" s="3">
        <v>58</v>
      </c>
      <c r="O266" s="3">
        <v>6</v>
      </c>
      <c r="P266" s="3">
        <v>3</v>
      </c>
      <c r="Q266" s="3" t="s">
        <v>558</v>
      </c>
      <c r="R266" s="3">
        <v>65</v>
      </c>
      <c r="S266" s="3">
        <v>43</v>
      </c>
      <c r="T266" s="3">
        <v>1860</v>
      </c>
      <c r="U266" s="3">
        <v>1463</v>
      </c>
      <c r="V266" s="3">
        <v>290</v>
      </c>
      <c r="W266" s="3">
        <v>78</v>
      </c>
      <c r="X266" s="3">
        <v>73.047858942065488</v>
      </c>
      <c r="Y266" s="3">
        <v>3.7179487179487181</v>
      </c>
    </row>
    <row r="267" spans="1:25">
      <c r="A267" s="3" t="s">
        <v>559</v>
      </c>
      <c r="B267" s="3">
        <v>1</v>
      </c>
      <c r="C267" s="3">
        <v>0</v>
      </c>
      <c r="D267" s="3">
        <v>0</v>
      </c>
      <c r="E267" s="3">
        <v>0</v>
      </c>
      <c r="F267" s="3">
        <v>0</v>
      </c>
      <c r="G267" s="3">
        <v>1</v>
      </c>
      <c r="H267" s="3">
        <v>49</v>
      </c>
      <c r="I267" s="3">
        <v>177</v>
      </c>
      <c r="J267" s="3">
        <v>83</v>
      </c>
      <c r="K267" s="3">
        <v>26.493025631204315</v>
      </c>
      <c r="L267" s="3">
        <v>0</v>
      </c>
      <c r="M267" s="3">
        <v>3</v>
      </c>
      <c r="N267" s="3">
        <v>35</v>
      </c>
      <c r="O267" s="3">
        <v>5</v>
      </c>
      <c r="P267" s="3">
        <v>0</v>
      </c>
      <c r="Q267" s="3" t="s">
        <v>560</v>
      </c>
      <c r="R267" s="3">
        <v>73</v>
      </c>
      <c r="S267" s="3">
        <v>22</v>
      </c>
      <c r="T267" s="3">
        <v>511</v>
      </c>
      <c r="U267" s="3">
        <v>319</v>
      </c>
      <c r="V267" s="3">
        <v>119</v>
      </c>
      <c r="W267" s="3">
        <v>58</v>
      </c>
      <c r="X267" s="3">
        <v>61.979166666666664</v>
      </c>
      <c r="Y267" s="3">
        <v>2.0517241379310347</v>
      </c>
    </row>
    <row r="268" spans="1:25" ht="20.45" customHeight="1">
      <c r="A268" s="3" t="s">
        <v>561</v>
      </c>
      <c r="B268" s="3">
        <v>1</v>
      </c>
      <c r="C268" s="3">
        <v>0</v>
      </c>
      <c r="D268" s="3">
        <v>0</v>
      </c>
      <c r="E268" s="3">
        <v>0</v>
      </c>
      <c r="F268" s="3">
        <v>0</v>
      </c>
      <c r="G268" s="3">
        <v>1</v>
      </c>
      <c r="H268" s="3">
        <v>64</v>
      </c>
      <c r="I268" s="3">
        <v>165</v>
      </c>
      <c r="J268" s="3">
        <v>73.5</v>
      </c>
      <c r="K268" s="3">
        <v>26.997245179063363</v>
      </c>
      <c r="L268" s="3">
        <v>4</v>
      </c>
      <c r="M268" s="3">
        <v>15</v>
      </c>
      <c r="N268" s="3">
        <v>15</v>
      </c>
      <c r="O268" s="3">
        <v>4</v>
      </c>
      <c r="P268" s="3">
        <v>3</v>
      </c>
      <c r="Q268" s="3" t="s">
        <v>562</v>
      </c>
      <c r="R268" s="3">
        <v>79</v>
      </c>
      <c r="S268" s="3">
        <v>30</v>
      </c>
      <c r="T268" s="3">
        <v>924</v>
      </c>
      <c r="U268" s="3">
        <v>554</v>
      </c>
      <c r="V268" s="3">
        <v>318</v>
      </c>
      <c r="W268" s="3">
        <v>39</v>
      </c>
      <c r="X268" s="3">
        <v>85.945945945945951</v>
      </c>
      <c r="Y268" s="3">
        <v>8.1538461538461533</v>
      </c>
    </row>
    <row r="269" spans="1:25">
      <c r="A269" s="3" t="s">
        <v>563</v>
      </c>
      <c r="B269" s="3">
        <v>0</v>
      </c>
      <c r="C269" s="3">
        <v>1</v>
      </c>
      <c r="D269" s="3">
        <v>1</v>
      </c>
      <c r="E269" s="3">
        <v>0</v>
      </c>
      <c r="F269" s="3">
        <v>1</v>
      </c>
      <c r="G269" s="3">
        <v>1</v>
      </c>
      <c r="H269" s="3">
        <v>55</v>
      </c>
      <c r="I269" s="3">
        <v>163</v>
      </c>
      <c r="J269" s="3">
        <v>60</v>
      </c>
      <c r="K269" s="3">
        <v>22.582709172343712</v>
      </c>
      <c r="L269" s="3">
        <v>13</v>
      </c>
      <c r="M269" s="3">
        <v>29</v>
      </c>
      <c r="N269" s="3">
        <v>55</v>
      </c>
      <c r="O269" s="3">
        <v>30</v>
      </c>
      <c r="P269" s="3">
        <v>26</v>
      </c>
      <c r="Q269" s="3" t="s">
        <v>564</v>
      </c>
      <c r="R269" s="3">
        <v>83</v>
      </c>
      <c r="S269" s="3">
        <v>22</v>
      </c>
      <c r="T269" s="3">
        <v>538</v>
      </c>
      <c r="U269" s="3">
        <v>172</v>
      </c>
      <c r="V269" s="3">
        <v>212</v>
      </c>
      <c r="W269" s="3">
        <v>124</v>
      </c>
      <c r="X269" s="3">
        <v>57.923497267759565</v>
      </c>
      <c r="Y269" s="3">
        <v>1.7096774193548387</v>
      </c>
    </row>
    <row r="270" spans="1:25">
      <c r="A270" s="3" t="s">
        <v>565</v>
      </c>
      <c r="B270" s="3">
        <v>0</v>
      </c>
      <c r="C270" s="3">
        <v>1</v>
      </c>
      <c r="D270" s="3">
        <v>1</v>
      </c>
      <c r="E270" s="3">
        <v>0</v>
      </c>
      <c r="F270" s="3">
        <v>0</v>
      </c>
      <c r="G270" s="3">
        <v>1</v>
      </c>
      <c r="H270" s="3">
        <v>35</v>
      </c>
      <c r="I270" s="3">
        <v>173</v>
      </c>
      <c r="J270" s="3">
        <v>70</v>
      </c>
      <c r="K270" s="3">
        <v>23.388686558187711</v>
      </c>
      <c r="L270" s="3">
        <v>17</v>
      </c>
      <c r="M270" s="3">
        <v>24</v>
      </c>
      <c r="N270" s="3">
        <v>41</v>
      </c>
      <c r="O270" s="3">
        <v>25</v>
      </c>
      <c r="P270" s="3">
        <v>24</v>
      </c>
      <c r="Q270" s="3" t="s">
        <v>566</v>
      </c>
      <c r="R270" s="3">
        <v>86</v>
      </c>
      <c r="S270" s="3">
        <v>37</v>
      </c>
      <c r="T270" s="3">
        <v>1337</v>
      </c>
      <c r="U270" s="3">
        <v>863</v>
      </c>
      <c r="V270" s="3">
        <v>242</v>
      </c>
      <c r="W270" s="3">
        <v>197</v>
      </c>
      <c r="X270" s="3">
        <v>51.054852320675103</v>
      </c>
      <c r="Y270" s="3">
        <v>1.2284263959390862</v>
      </c>
    </row>
    <row r="271" spans="1:25">
      <c r="A271" s="3" t="s">
        <v>567</v>
      </c>
      <c r="B271" s="3">
        <v>0</v>
      </c>
      <c r="C271" s="3">
        <v>1</v>
      </c>
      <c r="D271" s="3">
        <v>1</v>
      </c>
      <c r="E271" s="3">
        <v>0</v>
      </c>
      <c r="F271" s="3">
        <v>1</v>
      </c>
      <c r="G271" s="3">
        <v>0</v>
      </c>
      <c r="H271" s="3">
        <v>63</v>
      </c>
      <c r="I271" s="3">
        <v>159</v>
      </c>
      <c r="J271" s="3">
        <v>53</v>
      </c>
      <c r="K271" s="3">
        <v>20.964360587002094</v>
      </c>
      <c r="L271" s="3">
        <v>11</v>
      </c>
      <c r="M271" s="3">
        <v>27</v>
      </c>
      <c r="N271" s="3">
        <v>63</v>
      </c>
      <c r="O271" s="3">
        <v>31</v>
      </c>
      <c r="P271" s="3">
        <v>32</v>
      </c>
      <c r="Q271" s="3" t="s">
        <v>568</v>
      </c>
      <c r="R271" s="3">
        <v>64</v>
      </c>
      <c r="S271" s="3">
        <v>47</v>
      </c>
      <c r="T271" s="3">
        <v>2242</v>
      </c>
      <c r="U271" s="3">
        <v>617</v>
      </c>
      <c r="V271" s="3">
        <v>1170</v>
      </c>
      <c r="W271" s="3">
        <v>403</v>
      </c>
      <c r="X271" s="3">
        <v>72</v>
      </c>
      <c r="Y271" s="3">
        <v>2.903225806451613</v>
      </c>
    </row>
    <row r="272" spans="1:25">
      <c r="A272" s="3" t="s">
        <v>569</v>
      </c>
      <c r="B272" s="3">
        <v>0</v>
      </c>
      <c r="C272" s="3">
        <v>1</v>
      </c>
      <c r="D272" s="3">
        <v>1</v>
      </c>
      <c r="E272" s="3">
        <v>0</v>
      </c>
      <c r="F272" s="3">
        <v>0</v>
      </c>
      <c r="G272" s="3">
        <v>1</v>
      </c>
      <c r="H272" s="3">
        <v>41</v>
      </c>
      <c r="I272" s="3">
        <v>160</v>
      </c>
      <c r="J272" s="3">
        <v>67</v>
      </c>
      <c r="K272" s="3">
        <v>26.171874999999996</v>
      </c>
      <c r="L272" s="3">
        <v>9</v>
      </c>
      <c r="M272" s="3">
        <v>12</v>
      </c>
      <c r="N272" s="3">
        <v>63</v>
      </c>
      <c r="O272" s="3">
        <v>13</v>
      </c>
      <c r="P272" s="3">
        <v>7</v>
      </c>
      <c r="Q272" s="3" t="s">
        <v>570</v>
      </c>
      <c r="R272" s="3">
        <v>76</v>
      </c>
      <c r="S272" s="3">
        <v>23</v>
      </c>
      <c r="T272" s="3">
        <v>579</v>
      </c>
      <c r="U272" s="3">
        <v>341</v>
      </c>
      <c r="V272" s="3">
        <v>142</v>
      </c>
      <c r="W272" s="3">
        <v>79</v>
      </c>
      <c r="X272" s="3">
        <v>59.663865546218489</v>
      </c>
      <c r="Y272" s="3">
        <v>1.7974683544303798</v>
      </c>
    </row>
    <row r="273" spans="1:25">
      <c r="A273" s="3" t="s">
        <v>571</v>
      </c>
      <c r="B273" s="3">
        <v>1</v>
      </c>
      <c r="C273" s="3">
        <v>0</v>
      </c>
      <c r="D273" s="3">
        <v>0</v>
      </c>
      <c r="E273" s="3">
        <v>0</v>
      </c>
      <c r="F273" s="3">
        <v>0</v>
      </c>
      <c r="G273" s="3">
        <v>1</v>
      </c>
      <c r="H273" s="3">
        <v>67</v>
      </c>
      <c r="I273" s="3">
        <v>166</v>
      </c>
      <c r="J273" s="3">
        <v>65</v>
      </c>
      <c r="K273" s="3">
        <v>23.588329220496444</v>
      </c>
      <c r="L273" s="3">
        <v>1</v>
      </c>
      <c r="M273" s="3">
        <v>8</v>
      </c>
      <c r="N273" s="3">
        <v>67</v>
      </c>
      <c r="O273" s="3">
        <v>4</v>
      </c>
      <c r="P273" s="3">
        <v>2</v>
      </c>
      <c r="Q273" s="3" t="s">
        <v>572</v>
      </c>
      <c r="R273" s="3">
        <v>87</v>
      </c>
      <c r="S273" s="3">
        <v>15</v>
      </c>
      <c r="T273" s="3">
        <v>238</v>
      </c>
      <c r="U273" s="3">
        <v>144</v>
      </c>
      <c r="V273" s="3">
        <v>70</v>
      </c>
      <c r="W273" s="3">
        <v>18</v>
      </c>
      <c r="X273" s="3">
        <v>74.468085106382972</v>
      </c>
      <c r="Y273" s="3">
        <v>3.8888888888888888</v>
      </c>
    </row>
    <row r="274" spans="1:25">
      <c r="A274" s="3" t="s">
        <v>573</v>
      </c>
      <c r="B274" s="3">
        <v>1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65</v>
      </c>
      <c r="I274" s="3">
        <v>157</v>
      </c>
      <c r="J274" s="3">
        <v>57</v>
      </c>
      <c r="K274" s="3">
        <v>23.124670372023203</v>
      </c>
      <c r="L274" s="3">
        <v>5</v>
      </c>
      <c r="M274" s="3">
        <v>10</v>
      </c>
      <c r="N274" s="3">
        <v>86</v>
      </c>
      <c r="O274" s="3">
        <v>6</v>
      </c>
      <c r="P274" s="3">
        <v>1</v>
      </c>
      <c r="Q274" s="3" t="s">
        <v>574</v>
      </c>
      <c r="R274" s="3">
        <v>54</v>
      </c>
      <c r="S274" s="3">
        <v>44</v>
      </c>
      <c r="T274" s="3">
        <v>1845</v>
      </c>
      <c r="U274" s="3">
        <v>1207</v>
      </c>
      <c r="V274" s="3">
        <v>144</v>
      </c>
      <c r="W274" s="3">
        <v>437</v>
      </c>
      <c r="X274" s="3">
        <v>22.570532915360502</v>
      </c>
      <c r="Y274" s="3">
        <v>0.32951945080091533</v>
      </c>
    </row>
    <row r="275" spans="1:25">
      <c r="A275" s="3" t="s">
        <v>575</v>
      </c>
      <c r="B275" s="3">
        <v>1</v>
      </c>
      <c r="C275" s="3">
        <v>0</v>
      </c>
      <c r="D275" s="3">
        <v>0</v>
      </c>
      <c r="E275" s="3">
        <v>0</v>
      </c>
      <c r="F275" s="3">
        <v>0</v>
      </c>
      <c r="G275" s="3">
        <v>1</v>
      </c>
      <c r="H275" s="3">
        <v>43</v>
      </c>
      <c r="I275" s="3">
        <v>178</v>
      </c>
      <c r="J275" s="3">
        <v>80</v>
      </c>
      <c r="K275" s="3">
        <v>25.249337204898371</v>
      </c>
      <c r="L275" s="3">
        <v>4</v>
      </c>
      <c r="M275" s="3">
        <v>7</v>
      </c>
      <c r="N275" s="3">
        <v>58</v>
      </c>
      <c r="O275" s="3">
        <v>5</v>
      </c>
      <c r="P275" s="3">
        <v>2</v>
      </c>
      <c r="Q275" s="3" t="s">
        <v>576</v>
      </c>
      <c r="R275" s="3">
        <v>78</v>
      </c>
      <c r="S275" s="3">
        <v>38</v>
      </c>
      <c r="T275" s="3">
        <v>1424</v>
      </c>
      <c r="U275" s="3">
        <v>631</v>
      </c>
      <c r="V275" s="3">
        <v>286</v>
      </c>
      <c r="W275" s="3">
        <v>336</v>
      </c>
      <c r="X275" s="3">
        <v>36.065573770491802</v>
      </c>
      <c r="Y275" s="3">
        <v>0.85119047619047616</v>
      </c>
    </row>
    <row r="276" spans="1:25">
      <c r="A276" s="3" t="s">
        <v>577</v>
      </c>
      <c r="B276" s="3">
        <v>1</v>
      </c>
      <c r="C276" s="3">
        <v>0</v>
      </c>
      <c r="D276" s="3">
        <v>0</v>
      </c>
      <c r="E276" s="3">
        <v>0</v>
      </c>
      <c r="F276" s="3">
        <v>0</v>
      </c>
      <c r="G276" s="3">
        <v>1</v>
      </c>
      <c r="H276" s="3">
        <v>61</v>
      </c>
      <c r="I276" s="3">
        <v>172</v>
      </c>
      <c r="J276" s="3">
        <v>56</v>
      </c>
      <c r="K276" s="3">
        <v>18.92915089237426</v>
      </c>
      <c r="L276" s="3">
        <v>11</v>
      </c>
      <c r="M276" s="3">
        <v>23</v>
      </c>
      <c r="N276" s="3">
        <v>74</v>
      </c>
      <c r="O276" s="3">
        <v>16</v>
      </c>
      <c r="P276" s="3">
        <v>9</v>
      </c>
      <c r="Q276" s="3" t="s">
        <v>578</v>
      </c>
      <c r="R276" s="3">
        <v>76</v>
      </c>
      <c r="S276" s="3">
        <v>12</v>
      </c>
      <c r="T276" s="3">
        <v>154</v>
      </c>
      <c r="U276" s="3">
        <v>79</v>
      </c>
      <c r="V276" s="3">
        <v>10</v>
      </c>
      <c r="W276" s="3">
        <v>47</v>
      </c>
      <c r="X276" s="3">
        <v>13.333333333333334</v>
      </c>
      <c r="Y276" s="3">
        <v>0.21276595744680851</v>
      </c>
    </row>
    <row r="277" spans="1:25">
      <c r="A277" s="3" t="s">
        <v>579</v>
      </c>
      <c r="B277" s="3">
        <v>1</v>
      </c>
      <c r="C277" s="3">
        <v>0</v>
      </c>
      <c r="D277" s="3">
        <v>0</v>
      </c>
      <c r="E277" s="3">
        <v>0</v>
      </c>
      <c r="F277" s="3">
        <v>0</v>
      </c>
      <c r="G277" s="3">
        <v>1</v>
      </c>
      <c r="H277" s="3">
        <v>41</v>
      </c>
      <c r="I277" s="3">
        <v>172</v>
      </c>
      <c r="J277" s="3">
        <v>78</v>
      </c>
      <c r="K277" s="3">
        <v>26.365603028664147</v>
      </c>
      <c r="L277" s="3">
        <v>1</v>
      </c>
      <c r="M277" s="3">
        <v>21</v>
      </c>
      <c r="N277" s="3">
        <v>53</v>
      </c>
      <c r="O277" s="3">
        <v>3</v>
      </c>
      <c r="P277" s="3">
        <v>2</v>
      </c>
      <c r="Q277" s="3" t="s">
        <v>580</v>
      </c>
      <c r="R277" s="3">
        <v>74</v>
      </c>
      <c r="S277" s="3">
        <v>48</v>
      </c>
      <c r="T277" s="3">
        <v>2436</v>
      </c>
      <c r="U277" s="3">
        <v>1155</v>
      </c>
      <c r="V277" s="3">
        <v>761</v>
      </c>
      <c r="W277" s="3">
        <v>487</v>
      </c>
      <c r="X277" s="3">
        <v>59.406713505074158</v>
      </c>
      <c r="Y277" s="3">
        <v>1.5626283367556468</v>
      </c>
    </row>
    <row r="278" spans="1:25">
      <c r="A278" s="3" t="s">
        <v>581</v>
      </c>
      <c r="B278" s="3">
        <v>1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38</v>
      </c>
      <c r="I278" s="3">
        <v>153</v>
      </c>
      <c r="J278" s="3">
        <v>55</v>
      </c>
      <c r="K278" s="3">
        <v>23.495236874706311</v>
      </c>
      <c r="L278" s="3">
        <v>6</v>
      </c>
      <c r="M278" s="3">
        <v>11</v>
      </c>
      <c r="N278" s="3">
        <v>53</v>
      </c>
      <c r="O278" s="3">
        <v>8</v>
      </c>
      <c r="P278" s="3">
        <v>6</v>
      </c>
      <c r="Q278" s="3" t="s">
        <v>582</v>
      </c>
      <c r="R278" s="3">
        <v>56</v>
      </c>
      <c r="S278" s="3">
        <v>73</v>
      </c>
      <c r="T278" s="3">
        <v>5100</v>
      </c>
      <c r="U278" s="3">
        <v>2149</v>
      </c>
      <c r="V278" s="3">
        <v>1223</v>
      </c>
      <c r="W278" s="3">
        <v>1459</v>
      </c>
      <c r="X278" s="3">
        <v>41.443578447983732</v>
      </c>
      <c r="Y278" s="3">
        <v>0.83824537354352291</v>
      </c>
    </row>
    <row r="279" spans="1:25">
      <c r="A279" s="3" t="s">
        <v>583</v>
      </c>
      <c r="B279" s="3">
        <v>1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41</v>
      </c>
      <c r="I279" s="3">
        <v>159</v>
      </c>
      <c r="J279" s="3">
        <v>50</v>
      </c>
      <c r="K279" s="3">
        <v>19.77769866698311</v>
      </c>
      <c r="L279" s="3">
        <v>1</v>
      </c>
      <c r="M279" s="3">
        <v>1</v>
      </c>
      <c r="N279" s="3">
        <v>24</v>
      </c>
      <c r="O279" s="3">
        <v>1</v>
      </c>
      <c r="P279" s="3">
        <v>0</v>
      </c>
      <c r="Q279" s="3" t="s">
        <v>584</v>
      </c>
      <c r="R279" s="3">
        <v>80</v>
      </c>
      <c r="S279" s="3">
        <v>40</v>
      </c>
      <c r="T279" s="3">
        <v>1682</v>
      </c>
      <c r="U279" s="3">
        <v>1016</v>
      </c>
      <c r="V279" s="3">
        <v>385</v>
      </c>
      <c r="W279" s="3">
        <v>258</v>
      </c>
      <c r="X279" s="3">
        <v>57.807807807807805</v>
      </c>
      <c r="Y279" s="3">
        <v>1.4922480620155039</v>
      </c>
    </row>
    <row r="280" spans="1:25">
      <c r="A280" s="3" t="s">
        <v>585</v>
      </c>
      <c r="B280" s="3">
        <v>1</v>
      </c>
      <c r="C280" s="3">
        <v>0</v>
      </c>
      <c r="D280" s="3">
        <v>0</v>
      </c>
      <c r="E280" s="3">
        <v>0</v>
      </c>
      <c r="F280" s="3">
        <v>0</v>
      </c>
      <c r="G280" s="3">
        <v>1</v>
      </c>
      <c r="H280" s="3">
        <v>68</v>
      </c>
      <c r="I280" s="3">
        <v>176</v>
      </c>
      <c r="J280" s="3">
        <v>77</v>
      </c>
      <c r="K280" s="3">
        <v>24.857954545454547</v>
      </c>
      <c r="L280" s="3">
        <v>0</v>
      </c>
      <c r="M280" s="3">
        <v>3</v>
      </c>
      <c r="N280" s="3">
        <v>52</v>
      </c>
      <c r="O280" s="3">
        <v>2</v>
      </c>
      <c r="P280" s="3">
        <v>0</v>
      </c>
      <c r="Q280" s="3" t="s">
        <v>586</v>
      </c>
      <c r="R280" s="3">
        <v>84</v>
      </c>
      <c r="S280" s="3">
        <v>26</v>
      </c>
      <c r="T280" s="3">
        <v>701</v>
      </c>
      <c r="U280" s="3">
        <v>506</v>
      </c>
      <c r="V280" s="3">
        <v>142</v>
      </c>
      <c r="W280" s="3">
        <v>46</v>
      </c>
      <c r="X280" s="3">
        <v>72.820512820512818</v>
      </c>
      <c r="Y280" s="3">
        <v>3.0869565217391304</v>
      </c>
    </row>
    <row r="281" spans="1:25">
      <c r="A281" s="3" t="s">
        <v>587</v>
      </c>
      <c r="B281" s="3">
        <v>0</v>
      </c>
      <c r="C281" s="3">
        <v>1</v>
      </c>
      <c r="D281" s="3">
        <v>1</v>
      </c>
      <c r="E281" s="3">
        <v>0</v>
      </c>
      <c r="F281" s="3">
        <v>1</v>
      </c>
      <c r="G281" s="3">
        <v>0</v>
      </c>
      <c r="H281" s="3">
        <v>46</v>
      </c>
      <c r="I281" s="3">
        <v>166</v>
      </c>
      <c r="J281" s="3">
        <v>54</v>
      </c>
      <c r="K281" s="3">
        <v>19.596458121643199</v>
      </c>
      <c r="L281" s="3">
        <v>24</v>
      </c>
      <c r="M281" s="3">
        <v>47</v>
      </c>
      <c r="N281" s="3">
        <v>63</v>
      </c>
      <c r="O281" s="3">
        <v>29</v>
      </c>
      <c r="P281" s="3">
        <v>48</v>
      </c>
      <c r="Q281" s="3" t="s">
        <v>588</v>
      </c>
      <c r="R281" s="3">
        <v>72</v>
      </c>
      <c r="S281" s="3">
        <v>26</v>
      </c>
      <c r="T281" s="3">
        <v>710</v>
      </c>
      <c r="U281" s="3">
        <v>376</v>
      </c>
      <c r="V281" s="3">
        <v>185</v>
      </c>
      <c r="W281" s="3">
        <v>110</v>
      </c>
      <c r="X281" s="3">
        <v>55.389221556886227</v>
      </c>
      <c r="Y281" s="3">
        <v>1.6818181818181819</v>
      </c>
    </row>
    <row r="282" spans="1:25">
      <c r="A282" s="3" t="s">
        <v>589</v>
      </c>
      <c r="B282" s="3">
        <v>0</v>
      </c>
      <c r="C282" s="3">
        <v>1</v>
      </c>
      <c r="D282" s="3">
        <v>0</v>
      </c>
      <c r="E282" s="3">
        <v>0</v>
      </c>
      <c r="F282" s="3">
        <v>1</v>
      </c>
      <c r="G282" s="3">
        <v>0</v>
      </c>
      <c r="H282" s="3">
        <v>45</v>
      </c>
      <c r="I282" s="3">
        <v>162</v>
      </c>
      <c r="J282" s="3">
        <v>48</v>
      </c>
      <c r="K282" s="3">
        <v>18.289894833104707</v>
      </c>
      <c r="L282" s="3">
        <v>15</v>
      </c>
      <c r="M282" s="3">
        <v>39</v>
      </c>
      <c r="N282" s="3">
        <v>67</v>
      </c>
      <c r="O282" s="3">
        <v>15</v>
      </c>
      <c r="P282" s="3">
        <v>17</v>
      </c>
      <c r="Q282" s="3" t="s">
        <v>590</v>
      </c>
      <c r="R282" s="3">
        <v>69</v>
      </c>
      <c r="S282" s="3">
        <v>31</v>
      </c>
      <c r="T282" s="3">
        <v>1013</v>
      </c>
      <c r="U282" s="3">
        <v>496</v>
      </c>
      <c r="V282" s="3">
        <v>129</v>
      </c>
      <c r="W282" s="3">
        <v>347</v>
      </c>
      <c r="X282" s="3">
        <v>24.951644100580271</v>
      </c>
      <c r="Y282" s="3">
        <v>0.37175792507204614</v>
      </c>
    </row>
    <row r="283" spans="1:25">
      <c r="A283" s="3" t="s">
        <v>591</v>
      </c>
      <c r="B283" s="3">
        <v>0</v>
      </c>
      <c r="C283" s="3">
        <v>1</v>
      </c>
      <c r="D283" s="3">
        <v>1</v>
      </c>
      <c r="E283" s="3">
        <v>0</v>
      </c>
      <c r="F283" s="3">
        <v>0</v>
      </c>
      <c r="G283" s="3">
        <v>0</v>
      </c>
      <c r="H283" s="3">
        <v>23</v>
      </c>
      <c r="I283" s="3">
        <v>158</v>
      </c>
      <c r="J283" s="3">
        <v>69</v>
      </c>
      <c r="K283" s="3">
        <v>27.639801313892001</v>
      </c>
      <c r="L283" s="3">
        <v>20</v>
      </c>
      <c r="M283" s="3">
        <v>19</v>
      </c>
      <c r="N283" s="3">
        <v>54</v>
      </c>
      <c r="O283" s="3">
        <v>36</v>
      </c>
      <c r="P283" s="3">
        <v>35</v>
      </c>
      <c r="Q283" s="3" t="s">
        <v>592</v>
      </c>
      <c r="R283" s="3">
        <v>96</v>
      </c>
      <c r="S283" s="3">
        <v>12</v>
      </c>
      <c r="T283" s="3">
        <v>156</v>
      </c>
      <c r="U283" s="3">
        <v>51</v>
      </c>
      <c r="V283" s="3">
        <v>43</v>
      </c>
      <c r="W283" s="3">
        <v>46</v>
      </c>
      <c r="X283" s="3">
        <v>40.952380952380949</v>
      </c>
      <c r="Y283" s="3">
        <v>0.93478260869565222</v>
      </c>
    </row>
    <row r="284" spans="1:25">
      <c r="A284" s="3" t="s">
        <v>593</v>
      </c>
      <c r="B284" s="3">
        <v>0</v>
      </c>
      <c r="C284" s="3">
        <v>1</v>
      </c>
      <c r="D284" s="3">
        <v>1</v>
      </c>
      <c r="E284" s="3">
        <v>0</v>
      </c>
      <c r="F284" s="3">
        <v>1</v>
      </c>
      <c r="G284" s="3">
        <v>1</v>
      </c>
      <c r="H284" s="3">
        <v>46</v>
      </c>
      <c r="I284" s="3">
        <v>158</v>
      </c>
      <c r="J284" s="3">
        <v>85</v>
      </c>
      <c r="K284" s="3">
        <v>34.049030604069856</v>
      </c>
      <c r="L284" s="3">
        <v>3</v>
      </c>
      <c r="M284" s="3">
        <v>24</v>
      </c>
      <c r="N284" s="3">
        <v>79</v>
      </c>
      <c r="O284" s="3">
        <v>12</v>
      </c>
      <c r="P284" s="3">
        <v>8</v>
      </c>
      <c r="Q284" s="3" t="s">
        <v>594</v>
      </c>
      <c r="R284" s="3">
        <v>49</v>
      </c>
      <c r="S284" s="3">
        <v>33</v>
      </c>
      <c r="T284" s="3">
        <v>906</v>
      </c>
      <c r="U284" s="3">
        <v>403</v>
      </c>
      <c r="V284" s="3">
        <v>171</v>
      </c>
      <c r="W284" s="3">
        <v>290</v>
      </c>
      <c r="X284" s="3">
        <v>33.996023856858848</v>
      </c>
      <c r="Y284" s="3">
        <v>0.58965517241379306</v>
      </c>
    </row>
    <row r="285" spans="1:25">
      <c r="A285" s="3" t="s">
        <v>595</v>
      </c>
      <c r="B285" s="3">
        <v>0</v>
      </c>
      <c r="C285" s="3">
        <v>1</v>
      </c>
      <c r="D285" s="3">
        <v>0</v>
      </c>
      <c r="E285" s="3">
        <v>0</v>
      </c>
      <c r="F285" s="3">
        <v>1</v>
      </c>
      <c r="G285" s="3">
        <v>1</v>
      </c>
      <c r="H285" s="3">
        <v>46</v>
      </c>
      <c r="I285" s="3">
        <v>158</v>
      </c>
      <c r="J285" s="3">
        <v>52</v>
      </c>
      <c r="K285" s="3">
        <v>20.82999519307803</v>
      </c>
      <c r="L285" s="3">
        <v>8</v>
      </c>
      <c r="M285" s="3">
        <v>20</v>
      </c>
      <c r="N285" s="3">
        <v>57</v>
      </c>
      <c r="O285" s="3">
        <v>8</v>
      </c>
      <c r="P285" s="3">
        <v>9</v>
      </c>
      <c r="Q285" s="3" t="s">
        <v>596</v>
      </c>
      <c r="R285" s="3">
        <v>76</v>
      </c>
      <c r="S285" s="3">
        <v>43</v>
      </c>
      <c r="T285" s="3">
        <v>1664</v>
      </c>
      <c r="U285" s="3">
        <v>383</v>
      </c>
      <c r="V285" s="3">
        <v>380</v>
      </c>
      <c r="W285" s="3">
        <v>775</v>
      </c>
      <c r="X285" s="3">
        <v>29.66432474629196</v>
      </c>
      <c r="Y285" s="3">
        <v>0.49032258064516127</v>
      </c>
    </row>
    <row r="286" spans="1:25">
      <c r="A286" s="3" t="s">
        <v>597</v>
      </c>
      <c r="B286" s="3">
        <v>0</v>
      </c>
      <c r="C286" s="3">
        <v>1</v>
      </c>
      <c r="D286" s="3">
        <v>0</v>
      </c>
      <c r="E286" s="3">
        <v>1</v>
      </c>
      <c r="F286" s="3">
        <v>0</v>
      </c>
      <c r="G286" s="3">
        <v>1</v>
      </c>
      <c r="H286" s="3">
        <v>45</v>
      </c>
      <c r="I286" s="3">
        <v>170</v>
      </c>
      <c r="J286" s="3">
        <v>70</v>
      </c>
      <c r="K286" s="3">
        <v>24.221453287197235</v>
      </c>
      <c r="L286" s="3">
        <v>8</v>
      </c>
      <c r="M286" s="3">
        <v>28</v>
      </c>
      <c r="N286" s="3">
        <v>58</v>
      </c>
      <c r="O286" s="3">
        <v>4</v>
      </c>
      <c r="P286" s="3">
        <v>2</v>
      </c>
      <c r="Q286" s="3" t="s">
        <v>598</v>
      </c>
      <c r="R286" s="3">
        <v>79</v>
      </c>
      <c r="S286" s="3">
        <v>19</v>
      </c>
      <c r="T286" s="3">
        <v>459</v>
      </c>
      <c r="U286" s="3">
        <v>263</v>
      </c>
      <c r="V286" s="3">
        <v>151</v>
      </c>
      <c r="W286" s="3">
        <v>33</v>
      </c>
      <c r="X286" s="3">
        <v>77.040816326530617</v>
      </c>
      <c r="Y286" s="3">
        <v>4.5757575757575761</v>
      </c>
    </row>
    <row r="287" spans="1:25">
      <c r="A287" s="3" t="s">
        <v>599</v>
      </c>
      <c r="B287" s="3">
        <v>0</v>
      </c>
      <c r="C287" s="3">
        <v>1</v>
      </c>
      <c r="D287" s="3">
        <v>1</v>
      </c>
      <c r="E287" s="3">
        <v>1</v>
      </c>
      <c r="F287" s="3">
        <v>1</v>
      </c>
      <c r="G287" s="3">
        <v>0</v>
      </c>
      <c r="H287" s="3">
        <v>42</v>
      </c>
      <c r="I287" s="3">
        <v>168</v>
      </c>
      <c r="J287" s="3">
        <v>56</v>
      </c>
      <c r="K287" s="3">
        <v>19.841269841269845</v>
      </c>
      <c r="L287" s="3">
        <v>15</v>
      </c>
      <c r="M287" s="3">
        <v>17</v>
      </c>
      <c r="N287" s="3">
        <v>41</v>
      </c>
      <c r="O287" s="3">
        <v>23</v>
      </c>
      <c r="P287" s="3">
        <v>24</v>
      </c>
      <c r="Q287" s="3" t="s">
        <v>600</v>
      </c>
      <c r="R287" s="3">
        <v>74</v>
      </c>
      <c r="S287" s="3">
        <v>35</v>
      </c>
      <c r="T287" s="3">
        <v>1227</v>
      </c>
      <c r="U287" s="3">
        <v>695</v>
      </c>
      <c r="V287" s="3">
        <v>410</v>
      </c>
      <c r="W287" s="3">
        <v>73</v>
      </c>
      <c r="X287" s="3">
        <v>77.067669172932327</v>
      </c>
      <c r="Y287" s="3">
        <v>5.6164383561643838</v>
      </c>
    </row>
    <row r="288" spans="1:25">
      <c r="A288" s="3" t="s">
        <v>601</v>
      </c>
      <c r="B288" s="3">
        <v>0</v>
      </c>
      <c r="C288" s="3">
        <v>1</v>
      </c>
      <c r="D288" s="3">
        <v>0</v>
      </c>
      <c r="E288" s="3">
        <v>0</v>
      </c>
      <c r="F288" s="3">
        <v>1</v>
      </c>
      <c r="G288" s="3">
        <v>0</v>
      </c>
      <c r="H288" s="3">
        <v>35</v>
      </c>
      <c r="I288" s="3">
        <v>154</v>
      </c>
      <c r="J288" s="3">
        <v>47</v>
      </c>
      <c r="K288" s="3">
        <v>19.817844493169169</v>
      </c>
      <c r="L288" s="3">
        <v>14</v>
      </c>
      <c r="M288" s="3">
        <v>47</v>
      </c>
      <c r="N288" s="3">
        <v>66</v>
      </c>
      <c r="O288" s="3">
        <v>24</v>
      </c>
      <c r="P288" s="3">
        <v>15</v>
      </c>
      <c r="Q288" s="3" t="s">
        <v>602</v>
      </c>
      <c r="R288" s="3">
        <v>56</v>
      </c>
      <c r="S288" s="3">
        <v>56</v>
      </c>
      <c r="T288" s="3">
        <v>2937</v>
      </c>
      <c r="U288" s="3">
        <v>1679</v>
      </c>
      <c r="V288" s="3">
        <v>443</v>
      </c>
      <c r="W288" s="3">
        <v>662</v>
      </c>
      <c r="X288" s="3">
        <v>35.214626391096978</v>
      </c>
      <c r="Y288" s="3">
        <v>0.66918429003021151</v>
      </c>
    </row>
    <row r="289" spans="1:25">
      <c r="A289" s="3" t="s">
        <v>603</v>
      </c>
      <c r="B289" s="3">
        <v>0</v>
      </c>
      <c r="C289" s="3">
        <v>1</v>
      </c>
      <c r="D289" s="3">
        <v>1</v>
      </c>
      <c r="E289" s="3">
        <v>0</v>
      </c>
      <c r="F289" s="3">
        <v>0</v>
      </c>
      <c r="G289" s="3">
        <v>1</v>
      </c>
      <c r="H289" s="3">
        <v>66</v>
      </c>
      <c r="I289" s="3">
        <v>178</v>
      </c>
      <c r="J289" s="3">
        <v>65</v>
      </c>
      <c r="K289" s="3">
        <v>20.515086478979924</v>
      </c>
      <c r="L289" s="3">
        <v>12</v>
      </c>
      <c r="M289" s="3">
        <v>23</v>
      </c>
      <c r="N289" s="3">
        <v>72</v>
      </c>
      <c r="O289" s="3">
        <v>10</v>
      </c>
      <c r="P289" s="3">
        <v>22</v>
      </c>
      <c r="Q289" s="3" t="s">
        <v>604</v>
      </c>
      <c r="R289" s="3">
        <v>86</v>
      </c>
      <c r="S289" s="3">
        <v>13</v>
      </c>
      <c r="T289" s="3">
        <v>189</v>
      </c>
      <c r="U289" s="3">
        <v>105</v>
      </c>
      <c r="V289" s="3">
        <v>44</v>
      </c>
      <c r="W289" s="3">
        <v>31</v>
      </c>
      <c r="X289" s="3">
        <v>52.38095238095238</v>
      </c>
      <c r="Y289" s="3">
        <v>1.4193548387096775</v>
      </c>
    </row>
    <row r="290" spans="1:25">
      <c r="A290" s="3" t="s">
        <v>605</v>
      </c>
      <c r="B290" s="3">
        <v>0</v>
      </c>
      <c r="C290" s="3">
        <v>0</v>
      </c>
      <c r="D290" s="3">
        <v>0</v>
      </c>
      <c r="E290" s="3">
        <v>0</v>
      </c>
      <c r="F290" s="3">
        <v>1</v>
      </c>
      <c r="G290" s="3">
        <v>1</v>
      </c>
      <c r="H290" s="3">
        <v>40</v>
      </c>
      <c r="I290" s="3">
        <v>165</v>
      </c>
      <c r="J290" s="3">
        <v>54</v>
      </c>
      <c r="K290" s="3">
        <v>19.834710743801654</v>
      </c>
      <c r="L290" s="3">
        <v>2</v>
      </c>
      <c r="M290" s="3">
        <v>14</v>
      </c>
      <c r="N290" s="3">
        <v>55</v>
      </c>
      <c r="O290" s="3">
        <v>32</v>
      </c>
      <c r="P290" s="3">
        <v>12</v>
      </c>
      <c r="Q290" s="3" t="s">
        <v>606</v>
      </c>
      <c r="R290" s="3">
        <v>69</v>
      </c>
      <c r="S290" s="3">
        <v>36</v>
      </c>
      <c r="T290" s="3">
        <v>1260</v>
      </c>
      <c r="U290" s="3">
        <v>319</v>
      </c>
      <c r="V290" s="3">
        <v>529</v>
      </c>
      <c r="W290" s="3">
        <v>297</v>
      </c>
      <c r="X290" s="3">
        <v>56.216790648246544</v>
      </c>
      <c r="Y290" s="3">
        <v>1.7811447811447811</v>
      </c>
    </row>
    <row r="291" spans="1:25">
      <c r="A291" s="3" t="s">
        <v>607</v>
      </c>
      <c r="B291" s="3">
        <v>1</v>
      </c>
      <c r="C291" s="3">
        <v>0</v>
      </c>
      <c r="D291" s="3">
        <v>0</v>
      </c>
      <c r="E291" s="3">
        <v>0</v>
      </c>
      <c r="F291" s="3">
        <v>0</v>
      </c>
      <c r="G291" s="3">
        <v>1</v>
      </c>
      <c r="H291" s="3">
        <v>47</v>
      </c>
      <c r="I291" s="3">
        <v>174</v>
      </c>
      <c r="J291" s="3">
        <v>75</v>
      </c>
      <c r="K291" s="3">
        <v>24.772096710265558</v>
      </c>
      <c r="L291" s="3">
        <v>0</v>
      </c>
      <c r="M291" s="3">
        <v>2</v>
      </c>
      <c r="N291" s="3">
        <v>25</v>
      </c>
      <c r="O291" s="3">
        <v>0</v>
      </c>
      <c r="P291" s="3">
        <v>0</v>
      </c>
      <c r="Q291" s="3" t="s">
        <v>608</v>
      </c>
      <c r="R291" s="3">
        <v>83</v>
      </c>
      <c r="S291" s="3">
        <v>25</v>
      </c>
      <c r="T291" s="3">
        <v>746</v>
      </c>
      <c r="U291" s="3">
        <v>355</v>
      </c>
      <c r="V291" s="3">
        <v>197</v>
      </c>
      <c r="W291" s="3">
        <v>164</v>
      </c>
      <c r="X291" s="3">
        <v>50.38363171355499</v>
      </c>
      <c r="Y291" s="3">
        <v>1.2012195121951219</v>
      </c>
    </row>
    <row r="292" spans="1:25">
      <c r="A292" s="3" t="s">
        <v>609</v>
      </c>
      <c r="B292" s="3">
        <v>0</v>
      </c>
      <c r="C292" s="3">
        <v>0</v>
      </c>
      <c r="D292" s="3">
        <v>1</v>
      </c>
      <c r="E292" s="3">
        <v>0</v>
      </c>
      <c r="F292" s="3">
        <v>0</v>
      </c>
      <c r="G292" s="3">
        <v>0</v>
      </c>
      <c r="H292" s="3">
        <v>44</v>
      </c>
      <c r="I292" s="3">
        <v>160</v>
      </c>
      <c r="J292" s="3">
        <v>69</v>
      </c>
      <c r="K292" s="3">
        <v>26.953124999999996</v>
      </c>
      <c r="L292" s="3">
        <v>6</v>
      </c>
      <c r="M292" s="3">
        <v>6</v>
      </c>
      <c r="N292" s="3">
        <v>33</v>
      </c>
      <c r="O292" s="3">
        <v>2</v>
      </c>
      <c r="P292" s="3">
        <v>5</v>
      </c>
      <c r="Q292" s="3" t="s">
        <v>610</v>
      </c>
      <c r="R292" s="3">
        <v>82</v>
      </c>
      <c r="S292" s="3">
        <v>29</v>
      </c>
      <c r="T292" s="3">
        <v>845</v>
      </c>
      <c r="U292" s="3">
        <v>538</v>
      </c>
      <c r="V292" s="3">
        <v>218</v>
      </c>
      <c r="W292" s="3">
        <v>68</v>
      </c>
      <c r="X292" s="3">
        <v>71.009771986970691</v>
      </c>
      <c r="Y292" s="3">
        <v>3.2058823529411766</v>
      </c>
    </row>
    <row r="293" spans="1:25">
      <c r="A293" s="3" t="s">
        <v>611</v>
      </c>
      <c r="B293" s="3">
        <v>0</v>
      </c>
      <c r="C293" s="3">
        <v>1</v>
      </c>
      <c r="D293" s="3">
        <v>0</v>
      </c>
      <c r="E293" s="3">
        <v>0</v>
      </c>
      <c r="F293" s="3">
        <v>1</v>
      </c>
      <c r="G293" s="3">
        <v>0</v>
      </c>
      <c r="H293" s="3">
        <v>45</v>
      </c>
      <c r="I293" s="3">
        <v>163</v>
      </c>
      <c r="J293" s="3">
        <v>65</v>
      </c>
      <c r="K293" s="3">
        <v>24.464601603372351</v>
      </c>
      <c r="L293" s="3">
        <v>14</v>
      </c>
      <c r="M293" s="3">
        <v>50</v>
      </c>
      <c r="N293" s="3">
        <v>84</v>
      </c>
      <c r="O293" s="3">
        <v>22</v>
      </c>
      <c r="P293" s="3">
        <v>32</v>
      </c>
      <c r="Q293" s="3" t="s">
        <v>612</v>
      </c>
      <c r="R293" s="3">
        <v>76</v>
      </c>
      <c r="S293" s="3">
        <v>36</v>
      </c>
      <c r="T293" s="3">
        <v>1385</v>
      </c>
      <c r="U293" s="3">
        <v>849</v>
      </c>
      <c r="V293" s="3">
        <v>376</v>
      </c>
      <c r="W293" s="3">
        <v>128</v>
      </c>
      <c r="X293" s="3">
        <v>70.149253731343279</v>
      </c>
      <c r="Y293" s="3">
        <v>2.9375</v>
      </c>
    </row>
    <row r="294" spans="1:25">
      <c r="A294" s="3" t="s">
        <v>613</v>
      </c>
      <c r="B294" s="3">
        <v>0</v>
      </c>
      <c r="C294" s="3">
        <v>1</v>
      </c>
      <c r="D294" s="3">
        <v>1</v>
      </c>
      <c r="E294" s="3">
        <v>0</v>
      </c>
      <c r="F294" s="3">
        <v>1</v>
      </c>
      <c r="G294" s="3">
        <v>0</v>
      </c>
      <c r="H294" s="3">
        <v>41</v>
      </c>
      <c r="I294" s="3">
        <v>165</v>
      </c>
      <c r="J294" s="3">
        <v>65</v>
      </c>
      <c r="K294" s="3">
        <v>23.875114784205696</v>
      </c>
      <c r="L294" s="3">
        <v>23</v>
      </c>
      <c r="M294" s="3">
        <v>23</v>
      </c>
      <c r="N294" s="3">
        <v>62</v>
      </c>
      <c r="O294" s="3">
        <v>15</v>
      </c>
      <c r="P294" s="3">
        <v>37</v>
      </c>
      <c r="Q294" s="3" t="s">
        <v>614</v>
      </c>
      <c r="R294" s="3">
        <v>72</v>
      </c>
      <c r="S294" s="3">
        <v>41</v>
      </c>
      <c r="T294" s="3">
        <v>1635</v>
      </c>
      <c r="U294" s="3">
        <v>640</v>
      </c>
      <c r="V294" s="3">
        <v>511</v>
      </c>
      <c r="W294" s="3">
        <v>339</v>
      </c>
      <c r="X294" s="3">
        <v>51.356783919597987</v>
      </c>
      <c r="Y294" s="3">
        <v>1.5073746312684366</v>
      </c>
    </row>
    <row r="295" spans="1:25" ht="22.15" customHeight="1">
      <c r="A295" s="3" t="s">
        <v>615</v>
      </c>
      <c r="B295" s="3">
        <v>0</v>
      </c>
      <c r="C295" s="3">
        <v>0</v>
      </c>
      <c r="D295" s="3">
        <v>0</v>
      </c>
      <c r="E295" s="3">
        <v>1</v>
      </c>
      <c r="F295" s="3">
        <v>0</v>
      </c>
      <c r="G295" s="3">
        <v>0</v>
      </c>
      <c r="H295" s="3">
        <v>45</v>
      </c>
      <c r="I295" s="3">
        <v>153</v>
      </c>
      <c r="J295" s="3">
        <v>50</v>
      </c>
      <c r="K295" s="3">
        <v>21.35930624973301</v>
      </c>
      <c r="L295" s="3">
        <v>10</v>
      </c>
      <c r="M295" s="3">
        <v>33</v>
      </c>
      <c r="N295" s="3">
        <v>49</v>
      </c>
      <c r="O295" s="3">
        <v>30</v>
      </c>
      <c r="P295" s="3">
        <v>24</v>
      </c>
      <c r="Q295" s="3" t="s">
        <v>616</v>
      </c>
      <c r="R295" s="3">
        <v>68</v>
      </c>
      <c r="S295" s="3">
        <v>25</v>
      </c>
      <c r="T295" s="3">
        <v>531</v>
      </c>
      <c r="U295" s="3">
        <v>145</v>
      </c>
      <c r="V295" s="3">
        <v>75</v>
      </c>
      <c r="W295" s="3">
        <v>228</v>
      </c>
      <c r="X295" s="3">
        <v>19.430051813471504</v>
      </c>
      <c r="Y295" s="3">
        <v>0.32894736842105265</v>
      </c>
    </row>
    <row r="296" spans="1:25">
      <c r="A296" s="3" t="s">
        <v>617</v>
      </c>
      <c r="B296" s="3">
        <v>0</v>
      </c>
      <c r="C296" s="3">
        <v>1</v>
      </c>
      <c r="D296" s="3">
        <v>0</v>
      </c>
      <c r="E296" s="3">
        <v>0</v>
      </c>
      <c r="F296" s="3">
        <v>1</v>
      </c>
      <c r="G296" s="3">
        <v>0</v>
      </c>
      <c r="H296" s="3">
        <v>42</v>
      </c>
      <c r="I296" s="3">
        <v>160</v>
      </c>
      <c r="J296" s="3">
        <v>67</v>
      </c>
      <c r="K296" s="3">
        <v>26.171874999999996</v>
      </c>
      <c r="L296" s="3">
        <v>20</v>
      </c>
      <c r="M296" s="3">
        <v>45</v>
      </c>
      <c r="N296" s="3">
        <v>85</v>
      </c>
      <c r="O296" s="3">
        <v>19</v>
      </c>
      <c r="P296" s="3">
        <v>41</v>
      </c>
      <c r="Q296" s="3" t="s">
        <v>618</v>
      </c>
      <c r="R296" s="3">
        <v>83</v>
      </c>
      <c r="S296" s="3">
        <v>11</v>
      </c>
      <c r="T296" s="3">
        <v>135</v>
      </c>
      <c r="U296" s="3">
        <v>90</v>
      </c>
      <c r="V296" s="3">
        <v>24</v>
      </c>
      <c r="W296" s="3">
        <v>13</v>
      </c>
      <c r="X296" s="3">
        <v>53.333333333333336</v>
      </c>
      <c r="Y296" s="3">
        <v>1.8461538461538463</v>
      </c>
    </row>
    <row r="297" spans="1:25">
      <c r="A297" s="3" t="s">
        <v>619</v>
      </c>
      <c r="B297" s="3">
        <v>0</v>
      </c>
      <c r="C297" s="3">
        <v>1</v>
      </c>
      <c r="D297" s="3">
        <v>1</v>
      </c>
      <c r="E297" s="3">
        <v>0</v>
      </c>
      <c r="F297" s="3">
        <v>1</v>
      </c>
      <c r="G297" s="3">
        <v>0</v>
      </c>
      <c r="H297" s="3">
        <v>29</v>
      </c>
      <c r="I297" s="3">
        <v>166</v>
      </c>
      <c r="J297" s="3">
        <v>84</v>
      </c>
      <c r="K297" s="3">
        <v>30.483379300333869</v>
      </c>
      <c r="L297" s="3">
        <v>16</v>
      </c>
      <c r="M297" s="3">
        <v>35</v>
      </c>
      <c r="N297" s="3">
        <v>67</v>
      </c>
      <c r="O297" s="3">
        <v>30</v>
      </c>
      <c r="P297" s="3">
        <v>24</v>
      </c>
      <c r="Q297" s="3" t="s">
        <v>620</v>
      </c>
      <c r="R297" s="3">
        <v>62</v>
      </c>
      <c r="S297" s="3">
        <v>52</v>
      </c>
      <c r="T297" s="3">
        <v>2485</v>
      </c>
      <c r="U297" s="3">
        <v>1041</v>
      </c>
      <c r="V297" s="3">
        <v>681</v>
      </c>
      <c r="W297" s="3">
        <v>648</v>
      </c>
      <c r="X297" s="3">
        <v>47.1606648199446</v>
      </c>
      <c r="Y297" s="3">
        <v>1.0509259259259258</v>
      </c>
    </row>
    <row r="298" spans="1:25">
      <c r="A298" s="3" t="s">
        <v>621</v>
      </c>
      <c r="B298" s="3">
        <v>0</v>
      </c>
      <c r="C298" s="3">
        <v>1</v>
      </c>
      <c r="D298" s="3">
        <v>1</v>
      </c>
      <c r="E298" s="3">
        <v>0</v>
      </c>
      <c r="F298" s="3">
        <v>1</v>
      </c>
      <c r="G298" s="3">
        <v>1</v>
      </c>
      <c r="H298" s="3">
        <v>22</v>
      </c>
      <c r="I298" s="3">
        <v>178</v>
      </c>
      <c r="J298" s="3">
        <v>90</v>
      </c>
      <c r="K298" s="3">
        <v>28.405504355510669</v>
      </c>
      <c r="L298" s="3">
        <v>16</v>
      </c>
      <c r="M298" s="3">
        <v>42</v>
      </c>
      <c r="N298" s="3">
        <v>64</v>
      </c>
      <c r="O298" s="3">
        <v>37</v>
      </c>
      <c r="P298" s="3">
        <v>38</v>
      </c>
      <c r="Q298" s="3" t="s">
        <v>622</v>
      </c>
      <c r="R298" s="3">
        <v>80</v>
      </c>
      <c r="S298" s="3">
        <v>20</v>
      </c>
      <c r="T298" s="3">
        <v>403</v>
      </c>
      <c r="U298" s="3">
        <v>184</v>
      </c>
      <c r="V298" s="3">
        <v>137</v>
      </c>
      <c r="W298" s="3">
        <v>67</v>
      </c>
      <c r="X298" s="3">
        <v>62.557077625570777</v>
      </c>
      <c r="Y298" s="3">
        <v>2.044776119402985</v>
      </c>
    </row>
    <row r="299" spans="1:25">
      <c r="A299" s="3" t="s">
        <v>623</v>
      </c>
      <c r="B299" s="3">
        <v>0</v>
      </c>
      <c r="C299" s="3">
        <v>1</v>
      </c>
      <c r="D299" s="3">
        <v>0</v>
      </c>
      <c r="E299" s="3">
        <v>1</v>
      </c>
      <c r="F299" s="3">
        <v>1</v>
      </c>
      <c r="G299" s="3">
        <v>0</v>
      </c>
      <c r="H299" s="3">
        <v>29</v>
      </c>
      <c r="I299" s="3">
        <v>162</v>
      </c>
      <c r="J299" s="3">
        <v>55</v>
      </c>
      <c r="K299" s="3">
        <v>20.957171162932475</v>
      </c>
      <c r="L299" s="3">
        <v>23</v>
      </c>
      <c r="M299" s="3">
        <v>16</v>
      </c>
      <c r="N299" s="3">
        <v>71</v>
      </c>
      <c r="O299" s="3">
        <v>47</v>
      </c>
      <c r="P299" s="3">
        <v>40</v>
      </c>
      <c r="Q299" s="3" t="s">
        <v>624</v>
      </c>
      <c r="R299" s="3">
        <v>110</v>
      </c>
      <c r="S299" s="3">
        <v>12</v>
      </c>
      <c r="T299" s="3">
        <v>154</v>
      </c>
      <c r="U299" s="3">
        <v>114</v>
      </c>
      <c r="V299" s="3">
        <v>21</v>
      </c>
      <c r="W299" s="3">
        <v>9</v>
      </c>
      <c r="X299" s="3">
        <v>52.5</v>
      </c>
      <c r="Y299" s="3">
        <v>2.3333333333333335</v>
      </c>
    </row>
    <row r="300" spans="1:25">
      <c r="A300" s="3" t="s">
        <v>625</v>
      </c>
      <c r="B300" s="3">
        <v>1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31</v>
      </c>
      <c r="I300" s="3">
        <v>166</v>
      </c>
      <c r="J300" s="3">
        <v>61</v>
      </c>
      <c r="K300" s="3">
        <v>22.136739730004358</v>
      </c>
      <c r="L300" s="3">
        <v>6</v>
      </c>
      <c r="M300" s="3">
        <v>5</v>
      </c>
      <c r="N300" s="3">
        <v>23</v>
      </c>
      <c r="O300" s="3">
        <v>8</v>
      </c>
      <c r="P300" s="3">
        <v>2</v>
      </c>
      <c r="Q300" s="3" t="s">
        <v>626</v>
      </c>
      <c r="R300" s="3">
        <v>68</v>
      </c>
      <c r="S300" s="3">
        <v>209</v>
      </c>
      <c r="T300" s="3">
        <v>31138</v>
      </c>
      <c r="U300" s="3">
        <v>2102</v>
      </c>
      <c r="V300" s="3">
        <v>9670</v>
      </c>
      <c r="W300" s="3">
        <v>13834</v>
      </c>
      <c r="X300" s="3">
        <v>33.303485328557656</v>
      </c>
      <c r="Y300" s="3">
        <v>0.69900245771288128</v>
      </c>
    </row>
    <row r="301" spans="1:25">
      <c r="A301" s="3" t="s">
        <v>627</v>
      </c>
      <c r="B301" s="3">
        <v>0</v>
      </c>
      <c r="C301" s="3">
        <v>1</v>
      </c>
      <c r="D301" s="3">
        <v>1</v>
      </c>
      <c r="E301" s="3">
        <v>0</v>
      </c>
      <c r="F301" s="3">
        <v>0</v>
      </c>
      <c r="G301" s="3">
        <v>0</v>
      </c>
      <c r="H301" s="3">
        <v>31</v>
      </c>
      <c r="I301" s="3">
        <v>155</v>
      </c>
      <c r="J301" s="3">
        <v>43.5</v>
      </c>
      <c r="K301" s="3">
        <v>18.106139438085325</v>
      </c>
      <c r="L301" s="3">
        <v>14</v>
      </c>
      <c r="M301" s="3">
        <v>50</v>
      </c>
      <c r="N301" s="3">
        <v>61</v>
      </c>
      <c r="O301" s="3">
        <v>12</v>
      </c>
      <c r="P301" s="3">
        <v>42</v>
      </c>
      <c r="Q301" s="3" t="s">
        <v>628</v>
      </c>
      <c r="R301" s="3">
        <v>77</v>
      </c>
      <c r="S301" s="3">
        <v>44</v>
      </c>
      <c r="T301" s="3">
        <v>1910</v>
      </c>
      <c r="U301" s="3">
        <v>865</v>
      </c>
      <c r="V301" s="3">
        <v>688</v>
      </c>
      <c r="W301" s="3">
        <v>316</v>
      </c>
      <c r="X301" s="3">
        <v>65.837320574162675</v>
      </c>
      <c r="Y301" s="3">
        <v>2.1772151898734178</v>
      </c>
    </row>
    <row r="302" spans="1:25">
      <c r="A302" s="3" t="s">
        <v>629</v>
      </c>
      <c r="B302" s="3">
        <v>0</v>
      </c>
      <c r="C302" s="3">
        <v>1</v>
      </c>
      <c r="D302" s="3">
        <v>1</v>
      </c>
      <c r="E302" s="3">
        <v>0</v>
      </c>
      <c r="F302" s="3">
        <v>1</v>
      </c>
      <c r="G302" s="3">
        <v>0</v>
      </c>
      <c r="H302" s="3">
        <v>41</v>
      </c>
      <c r="I302" s="3">
        <v>161</v>
      </c>
      <c r="J302" s="3">
        <v>53</v>
      </c>
      <c r="K302" s="3">
        <v>20.446742023841672</v>
      </c>
      <c r="L302" s="3">
        <v>11</v>
      </c>
      <c r="M302" s="3">
        <v>4</v>
      </c>
      <c r="N302" s="3">
        <v>42</v>
      </c>
      <c r="O302" s="3">
        <v>11</v>
      </c>
      <c r="P302" s="3">
        <v>6</v>
      </c>
      <c r="Q302" s="3" t="s">
        <v>630</v>
      </c>
      <c r="R302" s="3">
        <v>61</v>
      </c>
      <c r="S302" s="3">
        <v>26</v>
      </c>
      <c r="T302" s="3">
        <v>651</v>
      </c>
      <c r="U302" s="3">
        <v>257</v>
      </c>
      <c r="V302" s="3">
        <v>129</v>
      </c>
      <c r="W302" s="3">
        <v>214</v>
      </c>
      <c r="X302" s="3">
        <v>32.741116751269033</v>
      </c>
      <c r="Y302" s="3">
        <v>0.60280373831775702</v>
      </c>
    </row>
    <row r="303" spans="1:25">
      <c r="A303" s="3" t="s">
        <v>631</v>
      </c>
      <c r="B303" s="3">
        <v>0</v>
      </c>
      <c r="C303" s="3">
        <v>1</v>
      </c>
      <c r="D303" s="3">
        <v>0</v>
      </c>
      <c r="E303" s="3">
        <v>0</v>
      </c>
      <c r="F303" s="3">
        <v>0</v>
      </c>
      <c r="G303" s="3">
        <v>1</v>
      </c>
      <c r="H303" s="3">
        <v>52</v>
      </c>
      <c r="I303" s="3">
        <v>168</v>
      </c>
      <c r="J303" s="3">
        <v>58</v>
      </c>
      <c r="K303" s="3">
        <v>20.549886621315196</v>
      </c>
      <c r="L303" s="3">
        <v>7</v>
      </c>
      <c r="M303" s="3">
        <v>23</v>
      </c>
      <c r="N303" s="3">
        <v>45</v>
      </c>
      <c r="O303" s="3">
        <v>7</v>
      </c>
      <c r="P303" s="3">
        <v>6</v>
      </c>
      <c r="Q303" s="3" t="s">
        <v>632</v>
      </c>
      <c r="R303" s="3">
        <v>83</v>
      </c>
      <c r="S303" s="3">
        <v>31</v>
      </c>
      <c r="T303" s="3">
        <v>1065</v>
      </c>
      <c r="U303" s="3">
        <v>804</v>
      </c>
      <c r="V303" s="3">
        <v>187</v>
      </c>
      <c r="W303" s="3">
        <v>58</v>
      </c>
      <c r="X303" s="3">
        <v>71.64750957854406</v>
      </c>
      <c r="Y303" s="3">
        <v>3.2241379310344827</v>
      </c>
    </row>
    <row r="304" spans="1:25">
      <c r="A304" s="3" t="s">
        <v>633</v>
      </c>
      <c r="B304" s="3">
        <v>0</v>
      </c>
      <c r="C304" s="3">
        <v>1</v>
      </c>
      <c r="D304" s="3">
        <v>0</v>
      </c>
      <c r="E304" s="3">
        <v>1</v>
      </c>
      <c r="F304" s="3">
        <v>0</v>
      </c>
      <c r="G304" s="3">
        <v>1</v>
      </c>
      <c r="H304" s="3">
        <v>27</v>
      </c>
      <c r="I304" s="3">
        <v>180</v>
      </c>
      <c r="J304" s="3">
        <v>64</v>
      </c>
      <c r="K304" s="3">
        <v>19.753086419753085</v>
      </c>
      <c r="L304" s="3">
        <v>4</v>
      </c>
      <c r="M304" s="3">
        <v>3</v>
      </c>
      <c r="N304" s="3">
        <v>37</v>
      </c>
      <c r="O304" s="3">
        <v>7</v>
      </c>
      <c r="P304" s="3">
        <v>2</v>
      </c>
      <c r="Q304" s="3" t="s">
        <v>634</v>
      </c>
      <c r="R304" s="3">
        <v>87</v>
      </c>
      <c r="S304" s="3">
        <v>22</v>
      </c>
      <c r="T304" s="3">
        <v>517</v>
      </c>
      <c r="U304" s="3">
        <v>177</v>
      </c>
      <c r="V304" s="3">
        <v>257</v>
      </c>
      <c r="W304" s="3">
        <v>72</v>
      </c>
      <c r="X304" s="3">
        <v>75.588235294117652</v>
      </c>
      <c r="Y304" s="3">
        <v>3.5694444444444446</v>
      </c>
    </row>
    <row r="305" spans="1:25">
      <c r="A305" s="3" t="s">
        <v>635</v>
      </c>
      <c r="B305" s="3">
        <v>0</v>
      </c>
      <c r="C305" s="3">
        <v>0</v>
      </c>
      <c r="D305" s="3">
        <v>0</v>
      </c>
      <c r="E305" s="3">
        <v>1</v>
      </c>
      <c r="F305" s="3">
        <v>0</v>
      </c>
      <c r="G305" s="3">
        <v>0</v>
      </c>
      <c r="H305" s="3">
        <v>31</v>
      </c>
      <c r="I305" s="3">
        <v>160</v>
      </c>
      <c r="J305" s="3">
        <v>53</v>
      </c>
      <c r="K305" s="3">
        <v>20.703124999999996</v>
      </c>
      <c r="L305" s="3">
        <v>14</v>
      </c>
      <c r="M305" s="3">
        <v>40</v>
      </c>
      <c r="N305" s="3">
        <v>71</v>
      </c>
      <c r="O305" s="3">
        <v>13</v>
      </c>
      <c r="P305" s="3">
        <v>17</v>
      </c>
      <c r="Q305" s="3" t="s">
        <v>636</v>
      </c>
      <c r="R305" s="3">
        <v>74</v>
      </c>
      <c r="S305" s="3">
        <v>34</v>
      </c>
      <c r="T305" s="3">
        <v>1262</v>
      </c>
      <c r="U305" s="3">
        <v>476</v>
      </c>
      <c r="V305" s="3">
        <v>456</v>
      </c>
      <c r="W305" s="3">
        <v>295</v>
      </c>
      <c r="X305" s="3">
        <v>58.015267175572518</v>
      </c>
      <c r="Y305" s="3">
        <v>1.5457627118644068</v>
      </c>
    </row>
    <row r="306" spans="1:25">
      <c r="A306" s="3" t="s">
        <v>637</v>
      </c>
      <c r="B306" s="3">
        <v>0</v>
      </c>
      <c r="C306" s="3">
        <v>0</v>
      </c>
      <c r="D306" s="3">
        <v>1</v>
      </c>
      <c r="E306" s="3">
        <v>1</v>
      </c>
      <c r="F306" s="3">
        <v>0</v>
      </c>
      <c r="G306" s="3">
        <v>0</v>
      </c>
      <c r="H306" s="3">
        <v>33</v>
      </c>
      <c r="I306" s="3">
        <v>160</v>
      </c>
      <c r="J306" s="3">
        <v>48</v>
      </c>
      <c r="K306" s="3">
        <v>18.749999999999996</v>
      </c>
      <c r="L306" s="3">
        <v>16</v>
      </c>
      <c r="M306" s="3">
        <v>18</v>
      </c>
      <c r="N306" s="3">
        <v>43</v>
      </c>
      <c r="O306" s="3">
        <v>18</v>
      </c>
      <c r="P306" s="3">
        <v>10</v>
      </c>
      <c r="Q306" s="3" t="s">
        <v>638</v>
      </c>
      <c r="R306" s="3">
        <v>85</v>
      </c>
      <c r="S306" s="3">
        <v>26</v>
      </c>
      <c r="T306" s="3">
        <v>681</v>
      </c>
      <c r="U306" s="3">
        <v>375</v>
      </c>
      <c r="V306" s="3">
        <v>238</v>
      </c>
      <c r="W306" s="3">
        <v>51</v>
      </c>
      <c r="X306" s="3">
        <v>77.777777777777771</v>
      </c>
      <c r="Y306" s="3">
        <v>4.666666666666667</v>
      </c>
    </row>
    <row r="307" spans="1:25">
      <c r="A307" s="3" t="s">
        <v>639</v>
      </c>
      <c r="B307" s="3">
        <v>0</v>
      </c>
      <c r="C307" s="3">
        <v>1</v>
      </c>
      <c r="D307" s="3">
        <v>0</v>
      </c>
      <c r="E307" s="3">
        <v>0</v>
      </c>
      <c r="F307" s="3">
        <v>0</v>
      </c>
      <c r="G307" s="3">
        <v>1</v>
      </c>
      <c r="H307" s="3">
        <v>44</v>
      </c>
      <c r="I307" s="3">
        <v>174</v>
      </c>
      <c r="J307" s="3">
        <v>95</v>
      </c>
      <c r="K307" s="3">
        <v>31.37798916633637</v>
      </c>
      <c r="L307" s="3">
        <v>5</v>
      </c>
      <c r="M307" s="3">
        <v>17</v>
      </c>
      <c r="N307" s="3">
        <v>34</v>
      </c>
      <c r="O307" s="3">
        <v>12</v>
      </c>
      <c r="P307" s="3">
        <v>15</v>
      </c>
      <c r="Q307" s="3" t="s">
        <v>640</v>
      </c>
      <c r="R307" s="3">
        <v>82</v>
      </c>
      <c r="S307" s="3">
        <v>36</v>
      </c>
      <c r="T307" s="3">
        <v>1498</v>
      </c>
      <c r="U307" s="3">
        <v>1084</v>
      </c>
      <c r="V307" s="3">
        <v>267</v>
      </c>
      <c r="W307" s="3">
        <v>103</v>
      </c>
      <c r="X307" s="3">
        <v>64.492753623188406</v>
      </c>
      <c r="Y307" s="3">
        <v>2.592233009708738</v>
      </c>
    </row>
    <row r="308" spans="1:25">
      <c r="A308" s="3" t="s">
        <v>641</v>
      </c>
      <c r="B308" s="3">
        <v>0</v>
      </c>
      <c r="C308" s="3">
        <v>1</v>
      </c>
      <c r="D308" s="3">
        <v>0</v>
      </c>
      <c r="E308" s="3">
        <v>0</v>
      </c>
      <c r="F308" s="3">
        <v>1</v>
      </c>
      <c r="G308" s="3">
        <v>0</v>
      </c>
      <c r="H308" s="3">
        <v>52</v>
      </c>
      <c r="I308" s="3">
        <v>146</v>
      </c>
      <c r="J308" s="3">
        <v>53</v>
      </c>
      <c r="K308" s="3">
        <v>24.86395196096829</v>
      </c>
      <c r="L308" s="3">
        <v>6</v>
      </c>
      <c r="M308" s="3">
        <v>7</v>
      </c>
      <c r="N308" s="3">
        <v>42</v>
      </c>
      <c r="O308" s="3">
        <v>2</v>
      </c>
      <c r="P308" s="3">
        <v>2</v>
      </c>
      <c r="Q308" s="3" t="s">
        <v>642</v>
      </c>
      <c r="R308" s="3">
        <v>70</v>
      </c>
      <c r="S308" s="3">
        <v>30</v>
      </c>
      <c r="T308" s="3">
        <v>940</v>
      </c>
      <c r="U308" s="3">
        <v>494</v>
      </c>
      <c r="V308" s="3">
        <v>186</v>
      </c>
      <c r="W308" s="3">
        <v>207</v>
      </c>
      <c r="X308" s="3">
        <v>41.704035874439462</v>
      </c>
      <c r="Y308" s="3">
        <v>0.89855072463768115</v>
      </c>
    </row>
    <row r="309" spans="1:25">
      <c r="A309" s="3" t="s">
        <v>643</v>
      </c>
      <c r="B309" s="3">
        <v>0</v>
      </c>
      <c r="C309" s="3">
        <v>0</v>
      </c>
      <c r="D309" s="3">
        <v>1</v>
      </c>
      <c r="E309" s="3">
        <v>0</v>
      </c>
      <c r="F309" s="3">
        <v>0</v>
      </c>
      <c r="G309" s="3">
        <v>1</v>
      </c>
      <c r="H309" s="3">
        <v>41</v>
      </c>
      <c r="I309" s="3">
        <v>183</v>
      </c>
      <c r="J309" s="3">
        <v>106</v>
      </c>
      <c r="K309" s="3">
        <v>31.652184299322162</v>
      </c>
      <c r="L309" s="3">
        <v>7</v>
      </c>
      <c r="M309" s="3">
        <v>7</v>
      </c>
      <c r="N309" s="3">
        <v>45</v>
      </c>
      <c r="O309" s="3">
        <v>24</v>
      </c>
      <c r="P309" s="3">
        <v>14</v>
      </c>
      <c r="Q309" s="3" t="s">
        <v>644</v>
      </c>
      <c r="R309" s="3">
        <v>75</v>
      </c>
      <c r="S309" s="3">
        <v>50</v>
      </c>
      <c r="T309" s="3">
        <v>2522</v>
      </c>
      <c r="U309" s="3">
        <v>1383</v>
      </c>
      <c r="V309" s="3">
        <v>914</v>
      </c>
      <c r="W309" s="3">
        <v>181</v>
      </c>
      <c r="X309" s="3">
        <v>80.245829675153644</v>
      </c>
      <c r="Y309" s="3">
        <v>5.0497237569060776</v>
      </c>
    </row>
    <row r="310" spans="1:25">
      <c r="A310" s="3" t="s">
        <v>645</v>
      </c>
      <c r="B310" s="3">
        <v>0</v>
      </c>
      <c r="C310" s="3">
        <v>1</v>
      </c>
      <c r="D310" s="3">
        <v>0</v>
      </c>
      <c r="E310" s="3">
        <v>0</v>
      </c>
      <c r="F310" s="3">
        <v>1</v>
      </c>
      <c r="G310" s="3">
        <v>1</v>
      </c>
      <c r="H310" s="3">
        <v>61</v>
      </c>
      <c r="I310" s="3">
        <v>156</v>
      </c>
      <c r="J310" s="3">
        <v>50</v>
      </c>
      <c r="K310" s="3">
        <v>20.5456936226167</v>
      </c>
      <c r="L310" s="3">
        <v>11</v>
      </c>
      <c r="M310" s="3">
        <v>29</v>
      </c>
      <c r="N310" s="3">
        <v>58</v>
      </c>
      <c r="O310" s="3">
        <v>13</v>
      </c>
      <c r="P310" s="3">
        <v>10</v>
      </c>
      <c r="Q310" s="3" t="s">
        <v>646</v>
      </c>
      <c r="R310" s="3">
        <v>99</v>
      </c>
      <c r="S310" s="3">
        <v>195</v>
      </c>
      <c r="T310" s="3">
        <v>34753</v>
      </c>
      <c r="U310" s="3">
        <v>2013</v>
      </c>
      <c r="V310" s="3">
        <v>8458</v>
      </c>
      <c r="W310" s="3">
        <v>12597</v>
      </c>
      <c r="X310" s="3">
        <v>25.833842394624313</v>
      </c>
      <c r="Y310" s="3">
        <v>0.67142970548543301</v>
      </c>
    </row>
    <row r="311" spans="1:25">
      <c r="A311" s="3" t="s">
        <v>647</v>
      </c>
      <c r="B311" s="3">
        <v>0</v>
      </c>
      <c r="C311" s="3">
        <v>1</v>
      </c>
      <c r="D311" s="3">
        <v>0</v>
      </c>
      <c r="E311" s="3">
        <v>0</v>
      </c>
      <c r="F311" s="3">
        <v>1</v>
      </c>
      <c r="G311" s="3">
        <v>0</v>
      </c>
      <c r="H311" s="3">
        <v>69</v>
      </c>
      <c r="I311" s="3">
        <v>159</v>
      </c>
      <c r="J311" s="3">
        <v>51</v>
      </c>
      <c r="K311" s="3">
        <v>20.173252640322769</v>
      </c>
      <c r="L311" s="3">
        <v>6</v>
      </c>
      <c r="M311" s="3">
        <v>36</v>
      </c>
      <c r="N311" s="3">
        <v>66</v>
      </c>
      <c r="O311" s="3">
        <v>6</v>
      </c>
      <c r="P311" s="3">
        <v>14</v>
      </c>
      <c r="Q311" s="3" t="s">
        <v>648</v>
      </c>
      <c r="R311" s="3">
        <v>70</v>
      </c>
      <c r="S311" s="3">
        <v>24</v>
      </c>
      <c r="T311" s="3">
        <v>574</v>
      </c>
      <c r="U311" s="3">
        <v>256</v>
      </c>
      <c r="V311" s="3">
        <v>71</v>
      </c>
      <c r="W311" s="3">
        <v>190</v>
      </c>
      <c r="X311" s="3">
        <v>22.327044025157232</v>
      </c>
      <c r="Y311" s="3">
        <v>0.37368421052631579</v>
      </c>
    </row>
    <row r="312" spans="1:25">
      <c r="A312" s="3" t="s">
        <v>649</v>
      </c>
      <c r="B312" s="3">
        <v>0</v>
      </c>
      <c r="C312" s="3">
        <v>1</v>
      </c>
      <c r="D312" s="3">
        <v>0</v>
      </c>
      <c r="E312" s="3">
        <v>0</v>
      </c>
      <c r="F312" s="3">
        <v>1</v>
      </c>
      <c r="G312" s="3">
        <v>0</v>
      </c>
      <c r="H312" s="3">
        <v>63</v>
      </c>
      <c r="I312" s="3">
        <v>161</v>
      </c>
      <c r="J312" s="3">
        <v>55.5</v>
      </c>
      <c r="K312" s="3">
        <v>21.411210987230429</v>
      </c>
      <c r="L312" s="3">
        <v>21</v>
      </c>
      <c r="M312" s="3">
        <v>25</v>
      </c>
      <c r="N312" s="3">
        <v>65</v>
      </c>
      <c r="O312" s="3">
        <v>24</v>
      </c>
      <c r="P312" s="3">
        <v>33</v>
      </c>
      <c r="Q312" s="3" t="s">
        <v>650</v>
      </c>
      <c r="R312" s="3">
        <v>66</v>
      </c>
      <c r="S312" s="3">
        <v>21</v>
      </c>
      <c r="T312" s="3">
        <v>368</v>
      </c>
      <c r="U312" s="3">
        <v>57</v>
      </c>
      <c r="V312" s="3">
        <v>73</v>
      </c>
      <c r="W312" s="3">
        <v>206</v>
      </c>
      <c r="X312" s="3">
        <v>23.472668810289388</v>
      </c>
      <c r="Y312" s="3">
        <v>0.35436893203883496</v>
      </c>
    </row>
    <row r="313" spans="1:25">
      <c r="A313" s="3" t="s">
        <v>651</v>
      </c>
      <c r="B313" s="3">
        <v>0</v>
      </c>
      <c r="C313" s="3">
        <v>0</v>
      </c>
      <c r="D313" s="3">
        <v>1</v>
      </c>
      <c r="E313" s="3">
        <v>0</v>
      </c>
      <c r="F313" s="3">
        <v>1</v>
      </c>
      <c r="G313" s="3">
        <v>0</v>
      </c>
      <c r="H313" s="3">
        <v>38</v>
      </c>
      <c r="I313" s="3">
        <v>158</v>
      </c>
      <c r="J313" s="3">
        <v>48</v>
      </c>
      <c r="K313" s="3">
        <v>19.227687870533565</v>
      </c>
      <c r="L313" s="3">
        <v>10</v>
      </c>
      <c r="M313" s="3">
        <v>4</v>
      </c>
      <c r="N313" s="3">
        <v>53</v>
      </c>
      <c r="O313" s="3">
        <v>34</v>
      </c>
      <c r="P313" s="3">
        <v>16</v>
      </c>
      <c r="Q313" s="3" t="s">
        <v>652</v>
      </c>
      <c r="R313" s="3">
        <v>80</v>
      </c>
      <c r="S313" s="3">
        <v>36</v>
      </c>
      <c r="T313" s="3">
        <v>1289</v>
      </c>
      <c r="U313" s="3">
        <v>583</v>
      </c>
      <c r="V313" s="3">
        <v>212</v>
      </c>
      <c r="W313" s="3">
        <v>292</v>
      </c>
      <c r="X313" s="3">
        <v>30.028328611898019</v>
      </c>
      <c r="Y313" s="3">
        <v>0.72602739726027399</v>
      </c>
    </row>
    <row r="314" spans="1:25">
      <c r="A314" s="3" t="s">
        <v>653</v>
      </c>
      <c r="B314" s="3">
        <v>0</v>
      </c>
      <c r="C314" s="3">
        <v>0</v>
      </c>
      <c r="D314" s="3">
        <v>1</v>
      </c>
      <c r="E314" s="3">
        <v>0</v>
      </c>
      <c r="F314" s="3">
        <v>1</v>
      </c>
      <c r="G314" s="3">
        <v>0</v>
      </c>
      <c r="H314" s="3">
        <v>38</v>
      </c>
      <c r="I314" s="3">
        <v>153</v>
      </c>
      <c r="J314" s="3">
        <v>58</v>
      </c>
      <c r="K314" s="3">
        <v>24.776795249690291</v>
      </c>
      <c r="L314" s="3">
        <v>2</v>
      </c>
      <c r="M314" s="3">
        <v>7</v>
      </c>
      <c r="N314" s="3">
        <v>62</v>
      </c>
      <c r="O314" s="3">
        <v>0</v>
      </c>
      <c r="P314" s="3">
        <v>2</v>
      </c>
      <c r="Q314" s="3" t="s">
        <v>654</v>
      </c>
      <c r="R314" s="3">
        <v>73</v>
      </c>
      <c r="S314" s="3">
        <v>56</v>
      </c>
      <c r="T314" s="3">
        <v>3042</v>
      </c>
      <c r="U314" s="3">
        <v>1215</v>
      </c>
      <c r="V314" s="3">
        <v>436</v>
      </c>
      <c r="W314" s="3">
        <v>1335</v>
      </c>
      <c r="X314" s="3">
        <v>23.864258347016968</v>
      </c>
      <c r="Y314" s="3">
        <v>0.32659176029962544</v>
      </c>
    </row>
    <row r="315" spans="1:25">
      <c r="A315" s="3" t="s">
        <v>655</v>
      </c>
      <c r="B315" s="3">
        <v>0</v>
      </c>
      <c r="C315" s="3">
        <v>1</v>
      </c>
      <c r="D315" s="3">
        <v>0</v>
      </c>
      <c r="E315" s="3">
        <v>1</v>
      </c>
      <c r="F315" s="3">
        <v>1</v>
      </c>
      <c r="G315" s="3">
        <v>0</v>
      </c>
      <c r="H315" s="3">
        <v>45</v>
      </c>
      <c r="I315" s="3">
        <v>165</v>
      </c>
      <c r="J315" s="3">
        <v>65</v>
      </c>
      <c r="K315" s="3">
        <v>23.875114784205696</v>
      </c>
      <c r="L315" s="3">
        <v>13</v>
      </c>
      <c r="M315" s="3">
        <v>38</v>
      </c>
      <c r="N315" s="3">
        <v>62</v>
      </c>
      <c r="O315" s="3">
        <v>31</v>
      </c>
      <c r="P315" s="3">
        <v>11</v>
      </c>
      <c r="Q315" s="3" t="s">
        <v>656</v>
      </c>
      <c r="R315" s="3">
        <v>75</v>
      </c>
      <c r="S315" s="3">
        <v>34</v>
      </c>
      <c r="T315" s="3">
        <v>1229</v>
      </c>
      <c r="U315" s="3">
        <v>512</v>
      </c>
      <c r="V315" s="3">
        <v>190</v>
      </c>
      <c r="W315" s="3">
        <v>436</v>
      </c>
      <c r="X315" s="3">
        <v>26.499302649930264</v>
      </c>
      <c r="Y315" s="3">
        <v>0.43577981651376146</v>
      </c>
    </row>
    <row r="316" spans="1:25">
      <c r="A316" s="3" t="s">
        <v>657</v>
      </c>
      <c r="B316" s="3">
        <v>0</v>
      </c>
      <c r="C316" s="3">
        <v>1</v>
      </c>
      <c r="D316" s="3">
        <v>0</v>
      </c>
      <c r="E316" s="3">
        <v>0</v>
      </c>
      <c r="F316" s="3">
        <v>1</v>
      </c>
      <c r="G316" s="3">
        <v>0</v>
      </c>
      <c r="H316" s="3">
        <v>56</v>
      </c>
      <c r="I316" s="3">
        <v>157</v>
      </c>
      <c r="J316" s="3">
        <v>54</v>
      </c>
      <c r="K316" s="3">
        <v>21.907582457706194</v>
      </c>
      <c r="L316" s="3">
        <v>7</v>
      </c>
      <c r="M316" s="3">
        <v>6</v>
      </c>
      <c r="N316" s="3">
        <v>58</v>
      </c>
      <c r="O316" s="3">
        <v>6</v>
      </c>
      <c r="P316" s="3">
        <v>3</v>
      </c>
      <c r="Q316" s="3" t="s">
        <v>658</v>
      </c>
      <c r="R316" s="3">
        <v>81</v>
      </c>
      <c r="S316" s="3">
        <v>9</v>
      </c>
      <c r="T316" s="3">
        <v>95</v>
      </c>
      <c r="U316" s="3">
        <v>51</v>
      </c>
      <c r="V316" s="3">
        <v>24</v>
      </c>
      <c r="W316" s="3">
        <v>9</v>
      </c>
      <c r="X316" s="3">
        <v>54.545454545454547</v>
      </c>
      <c r="Y316" s="3">
        <v>2.6666666666666665</v>
      </c>
    </row>
    <row r="317" spans="1:25">
      <c r="A317" s="3" t="s">
        <v>659</v>
      </c>
      <c r="B317" s="3">
        <v>0</v>
      </c>
      <c r="C317" s="3">
        <v>1</v>
      </c>
      <c r="D317" s="3">
        <v>0</v>
      </c>
      <c r="E317" s="3">
        <v>0</v>
      </c>
      <c r="F317" s="3">
        <v>1</v>
      </c>
      <c r="G317" s="3">
        <v>0</v>
      </c>
      <c r="H317" s="3">
        <v>56</v>
      </c>
      <c r="I317" s="3">
        <v>158</v>
      </c>
      <c r="J317" s="3">
        <v>64</v>
      </c>
      <c r="K317" s="3">
        <v>25.63691716071142</v>
      </c>
      <c r="L317" s="3">
        <v>21</v>
      </c>
      <c r="M317" s="3">
        <v>11</v>
      </c>
      <c r="N317" s="3">
        <v>56</v>
      </c>
      <c r="O317" s="3">
        <v>8</v>
      </c>
      <c r="P317" s="3">
        <v>25</v>
      </c>
      <c r="Q317" s="3" t="s">
        <v>660</v>
      </c>
      <c r="R317" s="3">
        <v>53</v>
      </c>
      <c r="S317" s="3">
        <v>26</v>
      </c>
      <c r="T317" s="3">
        <v>587</v>
      </c>
      <c r="U317" s="3">
        <v>392</v>
      </c>
      <c r="V317" s="3">
        <v>59</v>
      </c>
      <c r="W317" s="3">
        <v>100</v>
      </c>
      <c r="X317" s="3">
        <v>30.256410256410255</v>
      </c>
      <c r="Y317" s="3">
        <v>0.59</v>
      </c>
    </row>
    <row r="318" spans="1:25">
      <c r="A318" s="3" t="s">
        <v>661</v>
      </c>
      <c r="B318" s="3">
        <v>0</v>
      </c>
      <c r="C318" s="3">
        <v>1</v>
      </c>
      <c r="D318" s="3">
        <v>0</v>
      </c>
      <c r="E318" s="3">
        <v>0</v>
      </c>
      <c r="F318" s="3">
        <v>0</v>
      </c>
      <c r="G318" s="3">
        <v>0</v>
      </c>
      <c r="H318" s="3">
        <v>57</v>
      </c>
      <c r="I318" s="3">
        <v>158</v>
      </c>
      <c r="J318" s="3">
        <v>70</v>
      </c>
      <c r="K318" s="3">
        <v>28.040378144528116</v>
      </c>
      <c r="L318" s="3">
        <v>18</v>
      </c>
      <c r="M318" s="3">
        <v>9</v>
      </c>
      <c r="N318" s="3">
        <v>85</v>
      </c>
      <c r="O318" s="3">
        <v>13</v>
      </c>
      <c r="P318" s="3">
        <v>8</v>
      </c>
      <c r="Q318" s="3" t="s">
        <v>662</v>
      </c>
      <c r="R318" s="3">
        <v>70</v>
      </c>
      <c r="S318" s="3">
        <v>25</v>
      </c>
      <c r="T318" s="3">
        <v>682</v>
      </c>
      <c r="U318" s="3">
        <v>380</v>
      </c>
      <c r="V318" s="3">
        <v>79</v>
      </c>
      <c r="W318" s="3">
        <v>195</v>
      </c>
      <c r="X318" s="3">
        <v>26.158940397350992</v>
      </c>
      <c r="Y318" s="3">
        <v>0.40512820512820513</v>
      </c>
    </row>
    <row r="319" spans="1:25">
      <c r="A319" s="3" t="s">
        <v>663</v>
      </c>
      <c r="B319" s="3">
        <v>0</v>
      </c>
      <c r="C319" s="3">
        <v>0</v>
      </c>
      <c r="D319" s="3">
        <v>0</v>
      </c>
      <c r="E319" s="3">
        <v>1</v>
      </c>
      <c r="F319" s="3">
        <v>0</v>
      </c>
      <c r="G319" s="3">
        <v>1</v>
      </c>
      <c r="H319" s="3">
        <v>29</v>
      </c>
      <c r="I319" s="3">
        <v>167</v>
      </c>
      <c r="J319" s="3">
        <v>70</v>
      </c>
      <c r="K319" s="3">
        <v>25.099501595611173</v>
      </c>
      <c r="L319" s="3">
        <v>6</v>
      </c>
      <c r="M319" s="3">
        <v>5</v>
      </c>
      <c r="N319" s="3">
        <v>50</v>
      </c>
      <c r="O319" s="3">
        <v>22</v>
      </c>
      <c r="P319" s="3">
        <v>10</v>
      </c>
      <c r="Q319" s="3" t="s">
        <v>664</v>
      </c>
      <c r="R319" s="3">
        <v>91</v>
      </c>
      <c r="S319" s="3">
        <v>42</v>
      </c>
      <c r="T319" s="3">
        <v>1930</v>
      </c>
      <c r="U319" s="3">
        <v>756</v>
      </c>
      <c r="V319" s="3">
        <v>577</v>
      </c>
      <c r="W319" s="3">
        <v>548</v>
      </c>
      <c r="X319" s="3">
        <v>49.148211243611584</v>
      </c>
      <c r="Y319" s="3">
        <v>1.052919708029197</v>
      </c>
    </row>
    <row r="320" spans="1:25">
      <c r="A320" s="3" t="s">
        <v>665</v>
      </c>
      <c r="B320" s="3">
        <v>0</v>
      </c>
      <c r="C320" s="3">
        <v>1</v>
      </c>
      <c r="D320" s="3">
        <v>0</v>
      </c>
      <c r="E320" s="3">
        <v>0</v>
      </c>
      <c r="F320" s="3">
        <v>1</v>
      </c>
      <c r="G320" s="3">
        <v>0</v>
      </c>
      <c r="H320" s="3">
        <v>68</v>
      </c>
      <c r="I320" s="3">
        <v>156</v>
      </c>
      <c r="J320" s="3">
        <v>55</v>
      </c>
      <c r="K320" s="3">
        <v>22.600262984878366</v>
      </c>
      <c r="L320" s="3">
        <v>15</v>
      </c>
      <c r="M320" s="3">
        <v>8</v>
      </c>
      <c r="N320" s="3">
        <v>49</v>
      </c>
      <c r="O320" s="3">
        <v>14</v>
      </c>
      <c r="P320" s="3">
        <v>8</v>
      </c>
      <c r="Q320" s="3" t="s">
        <v>666</v>
      </c>
      <c r="R320" s="3">
        <v>65</v>
      </c>
      <c r="S320" s="3">
        <v>20</v>
      </c>
      <c r="T320" s="3">
        <v>355</v>
      </c>
      <c r="U320" s="3">
        <v>126</v>
      </c>
      <c r="V320" s="3">
        <v>61</v>
      </c>
      <c r="W320" s="3">
        <v>128</v>
      </c>
      <c r="X320" s="3">
        <v>26.637554585152838</v>
      </c>
      <c r="Y320" s="3">
        <v>0.4765625</v>
      </c>
    </row>
    <row r="321" spans="1:25">
      <c r="A321" s="3" t="s">
        <v>667</v>
      </c>
      <c r="B321" s="3">
        <v>0</v>
      </c>
      <c r="C321" s="3">
        <v>0</v>
      </c>
      <c r="D321" s="3">
        <v>1</v>
      </c>
      <c r="E321" s="3">
        <v>0</v>
      </c>
      <c r="F321" s="3">
        <v>0</v>
      </c>
      <c r="G321" s="3">
        <v>1</v>
      </c>
      <c r="H321" s="3">
        <v>41</v>
      </c>
      <c r="I321" s="3">
        <v>176</v>
      </c>
      <c r="J321" s="3">
        <v>81</v>
      </c>
      <c r="K321" s="3">
        <v>26.149276859504134</v>
      </c>
      <c r="L321" s="3">
        <v>10</v>
      </c>
      <c r="M321" s="3">
        <v>28</v>
      </c>
      <c r="N321" s="3">
        <v>65</v>
      </c>
      <c r="O321" s="3">
        <v>10</v>
      </c>
      <c r="P321" s="3">
        <v>13</v>
      </c>
      <c r="Q321" s="3" t="s">
        <v>668</v>
      </c>
      <c r="R321" s="3">
        <v>81</v>
      </c>
      <c r="S321" s="3">
        <v>39</v>
      </c>
      <c r="T321" s="3">
        <v>1600</v>
      </c>
      <c r="U321" s="3">
        <v>992</v>
      </c>
      <c r="V321" s="3">
        <v>487</v>
      </c>
      <c r="W321" s="3">
        <v>92</v>
      </c>
      <c r="X321" s="3">
        <v>80.098684210526315</v>
      </c>
      <c r="Y321" s="3">
        <v>5.2934782608695654</v>
      </c>
    </row>
    <row r="322" spans="1:25">
      <c r="A322" s="3" t="s">
        <v>669</v>
      </c>
      <c r="B322" s="3">
        <v>0</v>
      </c>
      <c r="C322" s="3">
        <v>1</v>
      </c>
      <c r="D322" s="3">
        <v>0</v>
      </c>
      <c r="E322" s="3">
        <v>0</v>
      </c>
      <c r="F322" s="3">
        <v>0</v>
      </c>
      <c r="G322" s="3">
        <v>0</v>
      </c>
      <c r="H322" s="3">
        <v>40</v>
      </c>
      <c r="I322" s="3">
        <v>160</v>
      </c>
      <c r="J322" s="3">
        <v>49</v>
      </c>
      <c r="K322" s="3">
        <v>19.140624999999996</v>
      </c>
      <c r="L322" s="3">
        <v>13</v>
      </c>
      <c r="M322" s="3">
        <v>9</v>
      </c>
      <c r="N322" s="3">
        <v>40</v>
      </c>
      <c r="O322" s="3">
        <v>18</v>
      </c>
      <c r="P322" s="3">
        <v>4</v>
      </c>
      <c r="Q322" s="3" t="s">
        <v>670</v>
      </c>
      <c r="R322" s="3">
        <v>81</v>
      </c>
      <c r="S322" s="3">
        <v>23</v>
      </c>
      <c r="T322" s="3">
        <v>598</v>
      </c>
      <c r="U322" s="3">
        <v>238</v>
      </c>
      <c r="V322" s="3">
        <v>133</v>
      </c>
      <c r="W322" s="3">
        <v>200</v>
      </c>
      <c r="X322" s="3">
        <v>36.944444444444443</v>
      </c>
      <c r="Y322" s="3">
        <v>0.66500000000000004</v>
      </c>
    </row>
    <row r="323" spans="1:25">
      <c r="A323" s="3" t="s">
        <v>671</v>
      </c>
      <c r="B323" s="3">
        <v>0</v>
      </c>
      <c r="C323" s="3">
        <v>1</v>
      </c>
      <c r="D323" s="3">
        <v>0</v>
      </c>
      <c r="E323" s="3">
        <v>0</v>
      </c>
      <c r="F323" s="3">
        <v>0</v>
      </c>
      <c r="G323" s="3">
        <v>1</v>
      </c>
      <c r="H323" s="3">
        <v>39</v>
      </c>
      <c r="I323" s="3">
        <v>167</v>
      </c>
      <c r="J323" s="3">
        <v>65</v>
      </c>
      <c r="K323" s="3">
        <v>23.306680053067517</v>
      </c>
      <c r="L323" s="3">
        <v>2</v>
      </c>
      <c r="M323" s="3">
        <v>5</v>
      </c>
      <c r="N323" s="3">
        <v>34</v>
      </c>
      <c r="O323" s="3">
        <v>6</v>
      </c>
      <c r="P323" s="3">
        <v>3</v>
      </c>
      <c r="Q323" s="3" t="s">
        <v>672</v>
      </c>
      <c r="R323" s="3">
        <v>67</v>
      </c>
      <c r="S323" s="3">
        <v>26</v>
      </c>
      <c r="T323" s="3">
        <v>643</v>
      </c>
      <c r="U323" s="3">
        <v>204</v>
      </c>
      <c r="V323" s="3">
        <v>170</v>
      </c>
      <c r="W323" s="3">
        <v>237</v>
      </c>
      <c r="X323" s="3">
        <v>38.724373576309794</v>
      </c>
      <c r="Y323" s="3">
        <v>0.71729957805907174</v>
      </c>
    </row>
    <row r="324" spans="1:25">
      <c r="A324" s="3" t="s">
        <v>673</v>
      </c>
      <c r="B324" s="3">
        <v>0</v>
      </c>
      <c r="C324" s="3">
        <v>0</v>
      </c>
      <c r="D324" s="3">
        <v>1</v>
      </c>
      <c r="E324" s="3">
        <v>1</v>
      </c>
      <c r="F324" s="3">
        <v>1</v>
      </c>
      <c r="G324" s="3">
        <v>1</v>
      </c>
      <c r="H324" s="3">
        <v>48</v>
      </c>
      <c r="I324" s="3">
        <v>182</v>
      </c>
      <c r="J324" s="3">
        <v>83</v>
      </c>
      <c r="K324" s="3">
        <v>25.057360222195385</v>
      </c>
      <c r="L324" s="3">
        <v>17</v>
      </c>
      <c r="M324" s="3">
        <v>30</v>
      </c>
      <c r="N324" s="3">
        <v>63</v>
      </c>
      <c r="O324" s="3">
        <v>29</v>
      </c>
      <c r="P324" s="3">
        <v>49</v>
      </c>
      <c r="Q324" s="3" t="s">
        <v>674</v>
      </c>
      <c r="R324" s="3">
        <v>67</v>
      </c>
      <c r="S324" s="3">
        <v>28</v>
      </c>
      <c r="T324" s="3">
        <v>960</v>
      </c>
      <c r="U324" s="3">
        <v>591</v>
      </c>
      <c r="V324" s="3">
        <v>295</v>
      </c>
      <c r="W324" s="3">
        <v>61</v>
      </c>
      <c r="X324" s="3">
        <v>79.945799457994582</v>
      </c>
      <c r="Y324" s="3">
        <v>4.8360655737704921</v>
      </c>
    </row>
    <row r="325" spans="1:25">
      <c r="A325" s="3" t="s">
        <v>675</v>
      </c>
      <c r="B325" s="3">
        <v>0</v>
      </c>
      <c r="C325" s="3">
        <v>1</v>
      </c>
      <c r="D325" s="3">
        <v>0</v>
      </c>
      <c r="E325" s="3">
        <v>1</v>
      </c>
      <c r="F325" s="3">
        <v>1</v>
      </c>
      <c r="G325" s="3">
        <v>1</v>
      </c>
      <c r="H325" s="3">
        <v>24</v>
      </c>
      <c r="I325" s="3">
        <v>176</v>
      </c>
      <c r="J325" s="3">
        <v>47</v>
      </c>
      <c r="K325" s="3">
        <v>15.173037190082646</v>
      </c>
      <c r="L325" s="3">
        <v>17</v>
      </c>
      <c r="M325" s="3">
        <v>43</v>
      </c>
      <c r="N325" s="3">
        <v>59</v>
      </c>
      <c r="O325" s="3">
        <v>31</v>
      </c>
      <c r="P325" s="3">
        <v>37</v>
      </c>
      <c r="Q325" s="3" t="s">
        <v>676</v>
      </c>
      <c r="R325" s="3">
        <v>78</v>
      </c>
      <c r="S325" s="3">
        <v>53</v>
      </c>
      <c r="T325" s="3">
        <v>2631</v>
      </c>
      <c r="U325" s="3">
        <v>686</v>
      </c>
      <c r="V325" s="3">
        <v>580</v>
      </c>
      <c r="W325" s="3">
        <v>1287</v>
      </c>
      <c r="X325" s="3">
        <v>29.82005141388175</v>
      </c>
      <c r="Y325" s="3">
        <v>0.45066045066045068</v>
      </c>
    </row>
    <row r="326" spans="1:25">
      <c r="A326" s="3" t="s">
        <v>677</v>
      </c>
      <c r="B326" s="3">
        <v>0</v>
      </c>
      <c r="C326" s="3">
        <v>0</v>
      </c>
      <c r="D326" s="3">
        <v>0</v>
      </c>
      <c r="E326" s="3">
        <v>1</v>
      </c>
      <c r="F326" s="3">
        <v>1</v>
      </c>
      <c r="G326" s="3">
        <v>0</v>
      </c>
      <c r="H326" s="3">
        <v>55</v>
      </c>
      <c r="I326" s="3">
        <v>165</v>
      </c>
      <c r="J326" s="3">
        <v>55</v>
      </c>
      <c r="K326" s="3">
        <v>20.202020202020204</v>
      </c>
      <c r="L326" s="3">
        <v>8</v>
      </c>
      <c r="M326" s="3">
        <v>6</v>
      </c>
      <c r="N326" s="3">
        <v>62</v>
      </c>
      <c r="O326" s="3">
        <v>32</v>
      </c>
      <c r="P326" s="3">
        <v>18</v>
      </c>
      <c r="Q326" s="3" t="s">
        <v>678</v>
      </c>
      <c r="R326" s="3">
        <v>72</v>
      </c>
      <c r="S326" s="3">
        <v>16</v>
      </c>
      <c r="T326" s="3">
        <v>263</v>
      </c>
      <c r="U326" s="3">
        <v>207</v>
      </c>
      <c r="V326" s="3">
        <v>45</v>
      </c>
      <c r="W326" s="3">
        <v>6</v>
      </c>
      <c r="X326" s="3">
        <v>80.357142857142861</v>
      </c>
      <c r="Y326" s="3">
        <v>7.5</v>
      </c>
    </row>
    <row r="327" spans="1:25">
      <c r="A327" s="3" t="s">
        <v>679</v>
      </c>
      <c r="B327" s="3">
        <v>0</v>
      </c>
      <c r="C327" s="3">
        <v>0</v>
      </c>
      <c r="D327" s="3">
        <v>0</v>
      </c>
      <c r="E327" s="3">
        <v>0</v>
      </c>
      <c r="F327" s="3">
        <v>1</v>
      </c>
      <c r="G327" s="3">
        <v>1</v>
      </c>
      <c r="H327" s="3">
        <v>27</v>
      </c>
      <c r="I327" s="3">
        <v>178</v>
      </c>
      <c r="J327" s="3">
        <v>73</v>
      </c>
      <c r="K327" s="3">
        <v>23.040020199469762</v>
      </c>
      <c r="L327" s="3">
        <v>2</v>
      </c>
      <c r="M327" s="3">
        <v>27</v>
      </c>
      <c r="N327" s="3">
        <v>50</v>
      </c>
      <c r="O327" s="3">
        <v>12</v>
      </c>
      <c r="P327" s="3">
        <v>4</v>
      </c>
      <c r="Q327" s="3" t="s">
        <v>680</v>
      </c>
      <c r="R327" s="3">
        <v>54</v>
      </c>
      <c r="S327" s="3">
        <v>45</v>
      </c>
      <c r="T327" s="3">
        <v>1913</v>
      </c>
      <c r="U327" s="3">
        <v>1215</v>
      </c>
      <c r="V327" s="3">
        <v>343</v>
      </c>
      <c r="W327" s="3">
        <v>304</v>
      </c>
      <c r="X327" s="3">
        <v>49.140401146131808</v>
      </c>
      <c r="Y327" s="3">
        <v>1.1282894736842106</v>
      </c>
    </row>
    <row r="328" spans="1:25">
      <c r="A328" s="3" t="s">
        <v>681</v>
      </c>
      <c r="B328" s="3">
        <v>1</v>
      </c>
      <c r="C328" s="3">
        <v>0</v>
      </c>
      <c r="D328" s="3">
        <v>0</v>
      </c>
      <c r="E328" s="3">
        <v>0</v>
      </c>
      <c r="F328" s="3">
        <v>0</v>
      </c>
      <c r="G328" s="3">
        <v>1</v>
      </c>
      <c r="H328" s="3">
        <v>68</v>
      </c>
      <c r="I328" s="3">
        <v>160</v>
      </c>
      <c r="J328" s="3">
        <v>56</v>
      </c>
      <c r="K328" s="3">
        <v>21.874999999999996</v>
      </c>
      <c r="L328" s="3">
        <v>1</v>
      </c>
      <c r="M328" s="3">
        <v>23</v>
      </c>
      <c r="N328" s="3">
        <v>80</v>
      </c>
      <c r="O328" s="3">
        <v>9</v>
      </c>
      <c r="P328" s="3">
        <v>5</v>
      </c>
      <c r="Q328" s="7" t="s">
        <v>682</v>
      </c>
      <c r="R328" s="3">
        <v>66</v>
      </c>
      <c r="S328" s="3">
        <v>40</v>
      </c>
      <c r="T328" s="3">
        <v>1565</v>
      </c>
      <c r="U328" s="3">
        <v>1123</v>
      </c>
      <c r="V328" s="3">
        <v>294</v>
      </c>
      <c r="W328" s="3">
        <v>106</v>
      </c>
      <c r="X328" s="3">
        <v>66.515837104072403</v>
      </c>
      <c r="Y328" s="3">
        <v>2.7735849056603774</v>
      </c>
    </row>
    <row r="329" spans="1:25">
      <c r="A329" s="3" t="s">
        <v>683</v>
      </c>
      <c r="B329" s="3">
        <v>1</v>
      </c>
      <c r="C329" s="3">
        <v>0</v>
      </c>
      <c r="D329" s="3">
        <v>0</v>
      </c>
      <c r="E329" s="3">
        <v>0</v>
      </c>
      <c r="F329" s="3">
        <v>0</v>
      </c>
      <c r="G329" s="3">
        <v>1</v>
      </c>
      <c r="H329" s="3">
        <v>68</v>
      </c>
      <c r="I329" s="3">
        <v>168</v>
      </c>
      <c r="J329" s="3">
        <v>51</v>
      </c>
      <c r="K329" s="3">
        <v>18.069727891156464</v>
      </c>
      <c r="L329" s="3">
        <v>5</v>
      </c>
      <c r="M329" s="3">
        <v>7</v>
      </c>
      <c r="N329" s="3">
        <v>94</v>
      </c>
      <c r="O329" s="3">
        <v>1</v>
      </c>
      <c r="P329" s="3">
        <v>1</v>
      </c>
      <c r="Q329" s="7" t="s">
        <v>684</v>
      </c>
      <c r="R329" s="3">
        <v>80</v>
      </c>
      <c r="S329" s="3">
        <v>19</v>
      </c>
      <c r="T329" s="3">
        <v>339</v>
      </c>
      <c r="U329" s="3">
        <v>113</v>
      </c>
      <c r="V329" s="3">
        <v>56</v>
      </c>
      <c r="W329" s="3">
        <v>49</v>
      </c>
      <c r="X329" s="3">
        <v>24.778761061946902</v>
      </c>
      <c r="Y329" s="3">
        <v>1.1428571428571428</v>
      </c>
    </row>
    <row r="330" spans="1:25">
      <c r="A330" s="3" t="s">
        <v>685</v>
      </c>
      <c r="B330" s="3">
        <v>1</v>
      </c>
      <c r="C330" s="3">
        <v>0</v>
      </c>
      <c r="D330" s="3">
        <v>0</v>
      </c>
      <c r="E330" s="3">
        <v>0</v>
      </c>
      <c r="F330" s="3">
        <v>0</v>
      </c>
      <c r="G330" s="3">
        <v>1</v>
      </c>
      <c r="H330" s="3">
        <v>60</v>
      </c>
      <c r="I330" s="3">
        <v>166</v>
      </c>
      <c r="J330" s="3">
        <v>64</v>
      </c>
      <c r="K330" s="3">
        <v>23.225431847873423</v>
      </c>
      <c r="L330" s="3">
        <v>1</v>
      </c>
      <c r="M330" s="3">
        <v>0</v>
      </c>
      <c r="N330" s="3">
        <v>24</v>
      </c>
      <c r="O330" s="3">
        <v>0</v>
      </c>
      <c r="P330" s="3">
        <v>0</v>
      </c>
      <c r="Q330" s="7" t="s">
        <v>686</v>
      </c>
      <c r="R330" s="3">
        <v>84</v>
      </c>
      <c r="S330" s="3">
        <v>164</v>
      </c>
      <c r="T330" s="3">
        <v>23024</v>
      </c>
      <c r="U330" s="3">
        <v>3174</v>
      </c>
      <c r="V330" s="3">
        <v>4166</v>
      </c>
      <c r="W330" s="3">
        <v>7634</v>
      </c>
      <c r="X330" s="3">
        <v>20.987405541561714</v>
      </c>
      <c r="Y330" s="3">
        <v>0.54571653130730946</v>
      </c>
    </row>
    <row r="331" spans="1:25">
      <c r="A331" s="3" t="s">
        <v>687</v>
      </c>
      <c r="B331" s="3">
        <v>1</v>
      </c>
      <c r="C331" s="3">
        <v>0</v>
      </c>
      <c r="D331" s="3">
        <v>0</v>
      </c>
      <c r="E331" s="3">
        <v>0</v>
      </c>
      <c r="F331" s="3">
        <v>0</v>
      </c>
      <c r="G331" s="3">
        <v>1</v>
      </c>
      <c r="H331" s="3">
        <v>65</v>
      </c>
      <c r="I331" s="3">
        <v>160</v>
      </c>
      <c r="J331" s="3">
        <v>69.5</v>
      </c>
      <c r="K331" s="3">
        <v>27.148437499999996</v>
      </c>
      <c r="L331" s="3">
        <v>1</v>
      </c>
      <c r="M331" s="3">
        <v>0</v>
      </c>
      <c r="N331" s="3">
        <v>63</v>
      </c>
      <c r="O331" s="3">
        <v>0</v>
      </c>
      <c r="P331" s="3">
        <v>0</v>
      </c>
      <c r="Q331" s="7" t="s">
        <v>688</v>
      </c>
      <c r="R331" s="3">
        <v>61</v>
      </c>
      <c r="S331" s="3">
        <v>30</v>
      </c>
      <c r="T331" s="3">
        <v>819</v>
      </c>
      <c r="U331" s="3">
        <v>407</v>
      </c>
      <c r="V331" s="3">
        <v>100</v>
      </c>
      <c r="W331" s="3">
        <v>258</v>
      </c>
      <c r="X331" s="3">
        <v>24.271844660194176</v>
      </c>
      <c r="Y331" s="3">
        <v>0.38759689922480622</v>
      </c>
    </row>
    <row r="332" spans="1:25">
      <c r="A332" s="3" t="s">
        <v>689</v>
      </c>
      <c r="B332" s="3">
        <v>1</v>
      </c>
      <c r="C332" s="3">
        <v>0</v>
      </c>
      <c r="D332" s="3">
        <v>0</v>
      </c>
      <c r="E332" s="3">
        <v>0</v>
      </c>
      <c r="F332" s="3">
        <v>0</v>
      </c>
      <c r="G332" s="3">
        <v>1</v>
      </c>
      <c r="H332" s="3">
        <v>69</v>
      </c>
      <c r="I332" s="3">
        <v>170</v>
      </c>
      <c r="J332" s="3">
        <v>71</v>
      </c>
      <c r="K332" s="3">
        <v>24.567474048442911</v>
      </c>
      <c r="L332" s="3">
        <v>1</v>
      </c>
      <c r="M332" s="3">
        <v>7</v>
      </c>
      <c r="N332" s="3">
        <v>64</v>
      </c>
      <c r="O332" s="3">
        <v>0</v>
      </c>
      <c r="P332" s="3">
        <v>0</v>
      </c>
      <c r="Q332" s="7" t="s">
        <v>690</v>
      </c>
      <c r="R332" s="3">
        <v>76</v>
      </c>
      <c r="S332" s="3">
        <v>19</v>
      </c>
      <c r="T332" s="3">
        <v>401</v>
      </c>
      <c r="U332" s="3">
        <v>189</v>
      </c>
      <c r="V332" s="3">
        <v>166</v>
      </c>
      <c r="W332" s="3">
        <v>35</v>
      </c>
      <c r="X332" s="3">
        <v>78.301886792452834</v>
      </c>
      <c r="Y332" s="3">
        <v>4.7428571428571429</v>
      </c>
    </row>
    <row r="333" spans="1:25">
      <c r="A333" s="3" t="s">
        <v>691</v>
      </c>
      <c r="B333" s="3">
        <v>1</v>
      </c>
      <c r="C333" s="3">
        <v>0</v>
      </c>
      <c r="D333" s="3">
        <v>0</v>
      </c>
      <c r="E333" s="3">
        <v>0</v>
      </c>
      <c r="F333" s="3">
        <v>0</v>
      </c>
      <c r="G333" s="3">
        <v>1</v>
      </c>
      <c r="H333" s="3">
        <v>57</v>
      </c>
      <c r="I333" s="3">
        <v>183</v>
      </c>
      <c r="J333" s="3">
        <v>86</v>
      </c>
      <c r="K333" s="3">
        <v>25.680074054167036</v>
      </c>
      <c r="L333" s="3">
        <v>0</v>
      </c>
      <c r="M333" s="3">
        <v>8</v>
      </c>
      <c r="N333" s="3">
        <v>50</v>
      </c>
      <c r="O333" s="3">
        <v>1</v>
      </c>
      <c r="P333" s="3">
        <v>0</v>
      </c>
      <c r="Q333" s="7" t="s">
        <v>692</v>
      </c>
      <c r="R333" s="3">
        <v>76</v>
      </c>
      <c r="S333" s="3">
        <v>16</v>
      </c>
      <c r="T333" s="3">
        <v>235</v>
      </c>
      <c r="U333" s="3">
        <v>86</v>
      </c>
      <c r="V333" s="3">
        <v>83</v>
      </c>
      <c r="W333" s="3">
        <v>54</v>
      </c>
      <c r="X333" s="3">
        <v>55.70469798657718</v>
      </c>
      <c r="Y333" s="3">
        <v>1.537037037037037</v>
      </c>
    </row>
    <row r="334" spans="1:25">
      <c r="A334" s="3" t="s">
        <v>693</v>
      </c>
      <c r="B334" s="3">
        <v>1</v>
      </c>
      <c r="C334" s="3">
        <v>0</v>
      </c>
      <c r="D334" s="3">
        <v>0</v>
      </c>
      <c r="E334" s="3">
        <v>0</v>
      </c>
      <c r="F334" s="3">
        <v>0</v>
      </c>
      <c r="G334" s="3">
        <v>1</v>
      </c>
      <c r="H334" s="3">
        <v>66</v>
      </c>
      <c r="I334" s="3">
        <v>165</v>
      </c>
      <c r="J334" s="3">
        <v>71</v>
      </c>
      <c r="K334" s="3">
        <v>26.078971533516992</v>
      </c>
      <c r="L334" s="3">
        <v>1</v>
      </c>
      <c r="M334" s="3">
        <v>11</v>
      </c>
      <c r="N334" s="3">
        <v>49</v>
      </c>
      <c r="O334" s="3">
        <v>1</v>
      </c>
      <c r="P334" s="3">
        <v>1</v>
      </c>
      <c r="Q334" s="7" t="s">
        <v>694</v>
      </c>
      <c r="R334" s="3">
        <v>56</v>
      </c>
      <c r="S334" s="3">
        <v>60</v>
      </c>
      <c r="T334" s="3">
        <v>3519</v>
      </c>
      <c r="U334" s="3">
        <v>1900.0340000000001</v>
      </c>
      <c r="V334" s="3">
        <v>939</v>
      </c>
      <c r="W334" s="3">
        <v>601</v>
      </c>
      <c r="X334" s="3">
        <v>57.999982705010488</v>
      </c>
      <c r="Y334" s="3">
        <v>1.562396006655574</v>
      </c>
    </row>
    <row r="335" spans="1:25">
      <c r="A335" s="3" t="s">
        <v>695</v>
      </c>
      <c r="B335" s="3">
        <v>1</v>
      </c>
      <c r="C335" s="3">
        <v>0</v>
      </c>
      <c r="D335" s="3">
        <v>0</v>
      </c>
      <c r="E335" s="3">
        <v>0</v>
      </c>
      <c r="F335" s="3">
        <v>0</v>
      </c>
      <c r="G335" s="3">
        <v>1</v>
      </c>
      <c r="H335" s="3">
        <v>65</v>
      </c>
      <c r="I335" s="3">
        <v>159</v>
      </c>
      <c r="J335" s="3">
        <v>60</v>
      </c>
      <c r="K335" s="3">
        <v>23.733238400379729</v>
      </c>
      <c r="L335" s="3">
        <v>1</v>
      </c>
      <c r="M335" s="3">
        <v>8</v>
      </c>
      <c r="N335" s="3">
        <v>55</v>
      </c>
      <c r="O335" s="3">
        <v>3</v>
      </c>
      <c r="P335" s="3">
        <v>1</v>
      </c>
      <c r="Q335" s="7" t="s">
        <v>696</v>
      </c>
      <c r="R335" s="3">
        <v>73</v>
      </c>
      <c r="S335" s="3">
        <v>19</v>
      </c>
      <c r="T335" s="3">
        <v>374</v>
      </c>
      <c r="U335" s="3">
        <v>276</v>
      </c>
      <c r="V335" s="3">
        <v>60</v>
      </c>
      <c r="W335" s="3">
        <v>28</v>
      </c>
      <c r="X335" s="3">
        <v>61.224489795918366</v>
      </c>
      <c r="Y335" s="3">
        <v>2.1428571428571428</v>
      </c>
    </row>
    <row r="336" spans="1:25">
      <c r="A336" s="3" t="s">
        <v>697</v>
      </c>
      <c r="B336" s="3">
        <v>1</v>
      </c>
      <c r="C336" s="3">
        <v>0</v>
      </c>
      <c r="D336" s="3">
        <v>0</v>
      </c>
      <c r="E336" s="3">
        <v>0</v>
      </c>
      <c r="F336" s="3">
        <v>0</v>
      </c>
      <c r="G336" s="3">
        <v>1</v>
      </c>
      <c r="H336" s="3">
        <v>61</v>
      </c>
      <c r="I336" s="3">
        <v>170</v>
      </c>
      <c r="J336" s="3">
        <v>82</v>
      </c>
      <c r="K336" s="3">
        <v>28.373702422145332</v>
      </c>
      <c r="L336" s="3">
        <v>1</v>
      </c>
      <c r="M336" s="3">
        <v>2</v>
      </c>
      <c r="N336" s="3">
        <v>49</v>
      </c>
      <c r="O336" s="3">
        <v>4</v>
      </c>
      <c r="P336" s="3">
        <v>0</v>
      </c>
      <c r="Q336" s="7" t="s">
        <v>698</v>
      </c>
      <c r="R336" s="3">
        <v>63</v>
      </c>
      <c r="S336" s="3">
        <v>39</v>
      </c>
      <c r="T336" s="3">
        <v>1536</v>
      </c>
      <c r="U336" s="3">
        <v>1160</v>
      </c>
      <c r="V336" s="3">
        <v>208</v>
      </c>
      <c r="W336" s="3">
        <v>139</v>
      </c>
      <c r="X336" s="3">
        <v>55.319148936170215</v>
      </c>
      <c r="Y336" s="3">
        <v>1.4964028776978417</v>
      </c>
    </row>
    <row r="337" spans="1:25">
      <c r="A337" s="3" t="s">
        <v>699</v>
      </c>
      <c r="B337" s="3">
        <v>0</v>
      </c>
      <c r="C337" s="3">
        <v>1</v>
      </c>
      <c r="D337" s="3">
        <v>0</v>
      </c>
      <c r="E337" s="3">
        <v>0</v>
      </c>
      <c r="F337" s="3">
        <v>1</v>
      </c>
      <c r="G337" s="3">
        <v>0</v>
      </c>
      <c r="H337" s="3">
        <v>59</v>
      </c>
      <c r="I337" s="3">
        <v>160</v>
      </c>
      <c r="J337" s="3">
        <v>49</v>
      </c>
      <c r="K337" s="3">
        <v>19.140624999999996</v>
      </c>
      <c r="L337" s="3">
        <v>5</v>
      </c>
      <c r="M337" s="3">
        <v>34</v>
      </c>
      <c r="N337" s="3">
        <v>59</v>
      </c>
      <c r="O337" s="3">
        <v>22</v>
      </c>
      <c r="P337" s="3">
        <v>14</v>
      </c>
      <c r="Q337" s="8" t="s">
        <v>700</v>
      </c>
      <c r="R337" s="8">
        <v>81</v>
      </c>
      <c r="S337" s="8">
        <v>12</v>
      </c>
      <c r="T337" s="8">
        <v>156</v>
      </c>
      <c r="U337" s="8">
        <v>75</v>
      </c>
      <c r="V337" s="8">
        <v>31</v>
      </c>
      <c r="W337" s="8">
        <v>29</v>
      </c>
      <c r="X337" s="8">
        <f xml:space="preserve"> 100*V337/(T337-U337)</f>
        <v>38.271604938271608</v>
      </c>
      <c r="Y337" s="8">
        <f>V337/W337</f>
        <v>1.0689655172413792</v>
      </c>
    </row>
    <row r="338" spans="1:25">
      <c r="A338" s="3" t="s">
        <v>701</v>
      </c>
      <c r="B338" s="3">
        <v>0</v>
      </c>
      <c r="C338" s="3">
        <v>1</v>
      </c>
      <c r="D338" s="3">
        <v>1</v>
      </c>
      <c r="E338" s="3">
        <v>1</v>
      </c>
      <c r="F338" s="3">
        <v>0</v>
      </c>
      <c r="G338" s="3">
        <v>0</v>
      </c>
      <c r="H338" s="3">
        <v>30</v>
      </c>
      <c r="I338" s="3">
        <v>173</v>
      </c>
      <c r="J338" s="3">
        <v>80</v>
      </c>
      <c r="K338" s="3">
        <v>26.729927495071667</v>
      </c>
      <c r="L338" s="3">
        <v>20</v>
      </c>
      <c r="M338" s="3">
        <v>37</v>
      </c>
      <c r="N338" s="3">
        <v>69</v>
      </c>
      <c r="O338" s="3">
        <v>37</v>
      </c>
      <c r="P338" s="3">
        <v>32</v>
      </c>
      <c r="Q338" s="8" t="s">
        <v>702</v>
      </c>
      <c r="R338" s="8">
        <v>63</v>
      </c>
      <c r="S338" s="8">
        <v>32</v>
      </c>
      <c r="T338" s="8">
        <v>1082</v>
      </c>
      <c r="U338" s="8">
        <v>433</v>
      </c>
      <c r="V338" s="8">
        <v>225</v>
      </c>
      <c r="W338" s="8">
        <v>373</v>
      </c>
      <c r="X338" s="8">
        <f xml:space="preserve"> 100*V338/(T338-U338)</f>
        <v>34.668721109399073</v>
      </c>
      <c r="Y338" s="8">
        <f>V338/W338</f>
        <v>0.60321715817694366</v>
      </c>
    </row>
    <row r="339" spans="1:25">
      <c r="A339" s="3" t="s">
        <v>703</v>
      </c>
      <c r="B339" s="3">
        <v>0</v>
      </c>
      <c r="C339" s="3">
        <v>0</v>
      </c>
      <c r="D339" s="3">
        <v>0</v>
      </c>
      <c r="E339" s="3">
        <v>0</v>
      </c>
      <c r="F339" s="3">
        <v>1</v>
      </c>
      <c r="G339" s="3">
        <v>0</v>
      </c>
      <c r="H339" s="3">
        <v>57</v>
      </c>
      <c r="I339" s="3">
        <v>158</v>
      </c>
      <c r="J339" s="3">
        <v>64</v>
      </c>
      <c r="K339" s="3">
        <v>25.63691716071142</v>
      </c>
      <c r="L339" s="3">
        <v>3</v>
      </c>
      <c r="M339" s="3">
        <v>6</v>
      </c>
      <c r="N339" s="3">
        <v>37</v>
      </c>
      <c r="O339" s="3">
        <v>10</v>
      </c>
      <c r="P339" s="3">
        <v>5</v>
      </c>
      <c r="Q339" s="3" t="s">
        <v>704</v>
      </c>
      <c r="R339" s="3">
        <v>63</v>
      </c>
      <c r="S339" s="3">
        <v>31</v>
      </c>
      <c r="T339" s="3">
        <v>1052</v>
      </c>
      <c r="U339" s="3">
        <v>617</v>
      </c>
      <c r="V339" s="3">
        <v>268</v>
      </c>
      <c r="W339" s="3">
        <v>147</v>
      </c>
      <c r="X339" s="3">
        <v>61.609195402298852</v>
      </c>
      <c r="Y339" s="3">
        <v>1.8231292517006803</v>
      </c>
    </row>
    <row r="340" spans="1:25">
      <c r="A340" s="3" t="s">
        <v>705</v>
      </c>
      <c r="B340" s="3">
        <v>0</v>
      </c>
      <c r="C340" s="3">
        <v>1</v>
      </c>
      <c r="D340" s="3">
        <v>0</v>
      </c>
      <c r="E340" s="3">
        <v>1</v>
      </c>
      <c r="F340" s="3">
        <v>0</v>
      </c>
      <c r="G340" s="3">
        <v>0</v>
      </c>
      <c r="H340" s="3">
        <v>49</v>
      </c>
      <c r="I340" s="3">
        <v>159</v>
      </c>
      <c r="J340" s="3">
        <v>52</v>
      </c>
      <c r="K340" s="3">
        <v>20.568806613662431</v>
      </c>
      <c r="L340" s="3">
        <v>7</v>
      </c>
      <c r="M340" s="3">
        <v>30</v>
      </c>
      <c r="N340" s="3">
        <v>44</v>
      </c>
      <c r="O340" s="3">
        <v>15</v>
      </c>
      <c r="P340" s="3">
        <v>11</v>
      </c>
      <c r="Q340" s="3" t="s">
        <v>706</v>
      </c>
      <c r="R340" s="8">
        <v>61</v>
      </c>
      <c r="S340" s="8">
        <v>33</v>
      </c>
      <c r="T340" s="8">
        <v>1022</v>
      </c>
      <c r="U340" s="8">
        <v>515</v>
      </c>
      <c r="V340" s="8">
        <v>180</v>
      </c>
      <c r="W340" s="8">
        <v>275</v>
      </c>
      <c r="X340" s="8">
        <f xml:space="preserve"> 100*V340/(T340-U340)</f>
        <v>35.502958579881657</v>
      </c>
      <c r="Y340" s="8">
        <f>V340/W340</f>
        <v>0.65454545454545454</v>
      </c>
    </row>
    <row r="341" spans="1:25">
      <c r="A341" s="3" t="s">
        <v>707</v>
      </c>
      <c r="B341" s="3">
        <v>1</v>
      </c>
      <c r="C341" s="3">
        <v>0</v>
      </c>
      <c r="D341" s="3">
        <v>0</v>
      </c>
      <c r="E341" s="3">
        <v>0</v>
      </c>
      <c r="F341" s="3">
        <v>0</v>
      </c>
      <c r="G341" s="3">
        <v>1</v>
      </c>
      <c r="H341" s="3">
        <v>60</v>
      </c>
      <c r="I341" s="3">
        <v>164</v>
      </c>
      <c r="J341" s="3">
        <v>62</v>
      </c>
      <c r="K341" s="3">
        <v>23.051754907792983</v>
      </c>
      <c r="L341" s="3">
        <v>2</v>
      </c>
      <c r="M341" s="3">
        <v>16</v>
      </c>
      <c r="N341" s="3">
        <v>58</v>
      </c>
      <c r="O341" s="3">
        <v>2</v>
      </c>
      <c r="P341" s="3">
        <v>1</v>
      </c>
      <c r="Q341" s="3" t="s">
        <v>708</v>
      </c>
      <c r="R341" s="3">
        <v>87</v>
      </c>
      <c r="S341" s="3">
        <v>12</v>
      </c>
      <c r="T341" s="3">
        <v>168</v>
      </c>
      <c r="U341" s="3">
        <v>107</v>
      </c>
      <c r="V341" s="3">
        <v>30</v>
      </c>
      <c r="W341" s="3">
        <v>16</v>
      </c>
      <c r="X341" s="3">
        <v>49.180327868852459</v>
      </c>
      <c r="Y341" s="3">
        <v>1.875</v>
      </c>
    </row>
    <row r="342" spans="1:25">
      <c r="A342" s="3" t="s">
        <v>709</v>
      </c>
      <c r="B342" s="3">
        <v>0</v>
      </c>
      <c r="C342" s="3">
        <v>1</v>
      </c>
      <c r="D342" s="3">
        <v>1</v>
      </c>
      <c r="E342" s="3">
        <v>0</v>
      </c>
      <c r="F342" s="3">
        <v>1</v>
      </c>
      <c r="G342" s="3">
        <v>0</v>
      </c>
      <c r="H342" s="3">
        <v>46</v>
      </c>
      <c r="I342" s="3">
        <v>160</v>
      </c>
      <c r="J342" s="3">
        <v>50</v>
      </c>
      <c r="K342" s="3">
        <v>19.531249999999996</v>
      </c>
      <c r="L342" s="3">
        <v>17</v>
      </c>
      <c r="M342" s="3">
        <v>8</v>
      </c>
      <c r="N342" s="3">
        <v>28</v>
      </c>
      <c r="O342" s="3">
        <v>8</v>
      </c>
      <c r="P342" s="3">
        <v>6</v>
      </c>
      <c r="Q342" s="3" t="s">
        <v>710</v>
      </c>
      <c r="R342" s="3">
        <v>61</v>
      </c>
      <c r="S342" s="3">
        <v>27</v>
      </c>
      <c r="T342" s="3">
        <v>662</v>
      </c>
      <c r="U342" s="3">
        <v>329</v>
      </c>
      <c r="V342" s="3">
        <v>91</v>
      </c>
      <c r="W342" s="3">
        <v>135</v>
      </c>
      <c r="X342" s="3">
        <v>27.327327327327328</v>
      </c>
      <c r="Y342" s="3">
        <v>0.67407407407407405</v>
      </c>
    </row>
    <row r="343" spans="1:25">
      <c r="A343" s="3" t="s">
        <v>711</v>
      </c>
      <c r="B343" s="3">
        <v>0</v>
      </c>
      <c r="C343" s="3">
        <v>0</v>
      </c>
      <c r="D343" s="3">
        <v>0</v>
      </c>
      <c r="E343" s="3">
        <v>0</v>
      </c>
      <c r="F343" s="3">
        <v>1</v>
      </c>
      <c r="G343" s="3">
        <v>0</v>
      </c>
      <c r="H343" s="3">
        <v>38</v>
      </c>
      <c r="I343" s="3">
        <v>148</v>
      </c>
      <c r="J343" s="3">
        <v>54</v>
      </c>
      <c r="K343" s="3">
        <v>24.653031409788166</v>
      </c>
      <c r="L343" s="3">
        <v>7</v>
      </c>
      <c r="M343" s="3">
        <v>6</v>
      </c>
      <c r="N343" s="3">
        <v>19</v>
      </c>
      <c r="O343" s="3">
        <v>7</v>
      </c>
      <c r="P343" s="3">
        <v>7</v>
      </c>
      <c r="Q343" s="3" t="s">
        <v>712</v>
      </c>
      <c r="R343" s="3">
        <v>63</v>
      </c>
      <c r="S343" s="3">
        <v>26</v>
      </c>
      <c r="T343" s="3">
        <v>715</v>
      </c>
      <c r="U343" s="3">
        <v>403</v>
      </c>
      <c r="V343" s="3">
        <v>125</v>
      </c>
      <c r="W343" s="3">
        <v>155</v>
      </c>
      <c r="X343" s="3">
        <v>40.064102564102562</v>
      </c>
      <c r="Y343" s="3">
        <v>0.80645161290322576</v>
      </c>
    </row>
    <row r="344" spans="1:25">
      <c r="A344" s="3" t="s">
        <v>713</v>
      </c>
      <c r="B344" s="3">
        <v>0</v>
      </c>
      <c r="C344" s="3">
        <v>1</v>
      </c>
      <c r="D344" s="3">
        <v>0</v>
      </c>
      <c r="E344" s="3">
        <v>1</v>
      </c>
      <c r="F344" s="3">
        <v>0</v>
      </c>
      <c r="G344" s="3">
        <v>1</v>
      </c>
      <c r="H344" s="3">
        <v>52</v>
      </c>
      <c r="I344" s="3">
        <v>160</v>
      </c>
      <c r="J344" s="3">
        <v>45</v>
      </c>
      <c r="K344" s="3">
        <v>17.578124999999996</v>
      </c>
      <c r="L344" s="3">
        <v>9</v>
      </c>
      <c r="M344" s="3">
        <v>13</v>
      </c>
      <c r="N344" s="3">
        <v>70</v>
      </c>
      <c r="O344" s="3">
        <v>9</v>
      </c>
      <c r="P344" s="3">
        <v>6</v>
      </c>
      <c r="Q344" s="3" t="s">
        <v>714</v>
      </c>
      <c r="R344" s="3">
        <v>64</v>
      </c>
      <c r="S344" s="3">
        <v>45</v>
      </c>
      <c r="T344" s="3">
        <v>1555</v>
      </c>
      <c r="U344" s="3">
        <v>290</v>
      </c>
      <c r="V344" s="3">
        <v>208</v>
      </c>
      <c r="W344" s="3">
        <v>769</v>
      </c>
      <c r="X344" s="3">
        <v>16.442687747035574</v>
      </c>
      <c r="Y344" s="3">
        <v>0.270481144343303</v>
      </c>
    </row>
    <row r="345" spans="1:25">
      <c r="A345" s="3" t="s">
        <v>715</v>
      </c>
      <c r="B345" s="3">
        <v>0</v>
      </c>
      <c r="C345" s="3">
        <v>0</v>
      </c>
      <c r="D345" s="3">
        <v>1</v>
      </c>
      <c r="E345" s="3">
        <v>0</v>
      </c>
      <c r="F345" s="3">
        <v>1</v>
      </c>
      <c r="G345" s="3">
        <v>0</v>
      </c>
      <c r="H345" s="3">
        <v>42</v>
      </c>
      <c r="I345" s="3">
        <v>164</v>
      </c>
      <c r="J345" s="3">
        <v>59</v>
      </c>
      <c r="K345" s="3">
        <v>21.936347412254616</v>
      </c>
      <c r="L345" s="3">
        <v>12</v>
      </c>
      <c r="M345" s="3">
        <v>6</v>
      </c>
      <c r="N345" s="3">
        <v>65</v>
      </c>
      <c r="O345" s="3">
        <v>17</v>
      </c>
      <c r="P345" s="3">
        <v>24</v>
      </c>
      <c r="Q345" s="3" t="s">
        <v>716</v>
      </c>
      <c r="R345" s="3">
        <v>79</v>
      </c>
      <c r="S345" s="3">
        <v>24</v>
      </c>
      <c r="T345" s="3">
        <v>581</v>
      </c>
      <c r="U345" s="3">
        <v>132</v>
      </c>
      <c r="V345" s="3">
        <v>67</v>
      </c>
      <c r="W345" s="3">
        <v>253</v>
      </c>
      <c r="X345" s="3">
        <v>14.922048997772828</v>
      </c>
      <c r="Y345" s="3">
        <v>0.2648221343873518</v>
      </c>
    </row>
    <row r="346" spans="1:25">
      <c r="A346" s="3" t="s">
        <v>717</v>
      </c>
      <c r="B346" s="3">
        <v>0</v>
      </c>
      <c r="C346" s="3">
        <v>0</v>
      </c>
      <c r="D346" s="3">
        <v>0</v>
      </c>
      <c r="E346" s="3">
        <v>0</v>
      </c>
      <c r="F346" s="3">
        <v>1</v>
      </c>
      <c r="G346" s="3">
        <v>0</v>
      </c>
      <c r="H346" s="3">
        <v>23</v>
      </c>
      <c r="I346" s="3">
        <v>160</v>
      </c>
      <c r="J346" s="3">
        <v>43</v>
      </c>
      <c r="K346" s="3">
        <v>16.796874999999996</v>
      </c>
      <c r="L346" s="3">
        <v>4</v>
      </c>
      <c r="M346" s="3">
        <v>10</v>
      </c>
      <c r="N346" s="3">
        <v>48</v>
      </c>
      <c r="O346" s="3">
        <v>26</v>
      </c>
      <c r="P346" s="3">
        <v>14</v>
      </c>
      <c r="Q346" s="3" t="s">
        <v>718</v>
      </c>
      <c r="R346" s="3">
        <v>74</v>
      </c>
      <c r="S346" s="3">
        <v>41</v>
      </c>
      <c r="T346" s="3">
        <v>1926</v>
      </c>
      <c r="U346" s="3">
        <v>1190</v>
      </c>
      <c r="V346" s="3">
        <v>481</v>
      </c>
      <c r="W346" s="3">
        <v>232</v>
      </c>
      <c r="X346" s="3">
        <v>65.353260869565219</v>
      </c>
      <c r="Y346" s="3">
        <v>2.0732758620689653</v>
      </c>
    </row>
    <row r="347" spans="1:25">
      <c r="A347" s="3" t="s">
        <v>719</v>
      </c>
      <c r="B347" s="3">
        <v>1</v>
      </c>
      <c r="C347" s="3">
        <v>0</v>
      </c>
      <c r="D347" s="3">
        <v>0</v>
      </c>
      <c r="E347" s="3">
        <v>0</v>
      </c>
      <c r="F347" s="3">
        <v>0</v>
      </c>
      <c r="G347" s="3">
        <v>1</v>
      </c>
      <c r="H347" s="3">
        <v>65</v>
      </c>
      <c r="I347" s="3">
        <v>172</v>
      </c>
      <c r="J347" s="3">
        <v>88</v>
      </c>
      <c r="K347" s="3">
        <v>29.745808545159548</v>
      </c>
      <c r="L347" s="3">
        <v>0</v>
      </c>
      <c r="M347" s="3">
        <v>0</v>
      </c>
      <c r="N347" s="3">
        <v>86</v>
      </c>
      <c r="O347" s="3">
        <v>0</v>
      </c>
      <c r="P347" s="3">
        <v>0</v>
      </c>
      <c r="Q347" s="3" t="s">
        <v>720</v>
      </c>
      <c r="R347" s="3">
        <v>76</v>
      </c>
      <c r="S347" s="3">
        <v>16</v>
      </c>
      <c r="T347" s="3">
        <v>288</v>
      </c>
      <c r="U347" s="3">
        <v>172</v>
      </c>
      <c r="V347" s="3">
        <v>53</v>
      </c>
      <c r="W347" s="3">
        <v>43</v>
      </c>
      <c r="X347" s="3">
        <v>45.689655172413794</v>
      </c>
      <c r="Y347" s="3">
        <v>1.2325581395348837</v>
      </c>
    </row>
    <row r="348" spans="1:25">
      <c r="A348" s="3" t="s">
        <v>721</v>
      </c>
      <c r="B348" s="3">
        <v>1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21</v>
      </c>
      <c r="I348" s="3">
        <v>162</v>
      </c>
      <c r="J348" s="3">
        <v>82</v>
      </c>
      <c r="K348" s="3">
        <v>31.245237006553872</v>
      </c>
      <c r="L348" s="3">
        <v>15</v>
      </c>
      <c r="M348" s="3">
        <v>13</v>
      </c>
      <c r="N348" s="3">
        <v>49</v>
      </c>
      <c r="O348" s="3">
        <v>27</v>
      </c>
      <c r="P348" s="3">
        <v>20</v>
      </c>
      <c r="Q348" s="3" t="s">
        <v>722</v>
      </c>
      <c r="R348" s="3">
        <v>92</v>
      </c>
      <c r="S348" s="3">
        <v>26</v>
      </c>
      <c r="T348" s="3">
        <v>763</v>
      </c>
      <c r="U348" s="3">
        <v>188</v>
      </c>
      <c r="V348" s="3">
        <v>119</v>
      </c>
      <c r="W348" s="3">
        <v>386</v>
      </c>
      <c r="X348" s="3">
        <v>20.695652173913043</v>
      </c>
      <c r="Y348" s="3">
        <v>0.30829015544041449</v>
      </c>
    </row>
    <row r="349" spans="1:25">
      <c r="A349" s="3" t="s">
        <v>723</v>
      </c>
      <c r="B349" s="3">
        <v>0</v>
      </c>
      <c r="C349" s="3">
        <v>1</v>
      </c>
      <c r="D349" s="3">
        <v>0</v>
      </c>
      <c r="E349" s="3">
        <v>0</v>
      </c>
      <c r="F349" s="3">
        <v>1</v>
      </c>
      <c r="G349" s="3">
        <v>0</v>
      </c>
      <c r="H349" s="3">
        <v>53</v>
      </c>
      <c r="I349" s="3">
        <v>165</v>
      </c>
      <c r="J349" s="3">
        <v>63</v>
      </c>
      <c r="K349" s="3">
        <v>23.140495867768596</v>
      </c>
      <c r="L349" s="3">
        <v>13</v>
      </c>
      <c r="M349" s="3">
        <v>33</v>
      </c>
      <c r="N349" s="3">
        <v>59</v>
      </c>
      <c r="O349" s="3">
        <v>10</v>
      </c>
      <c r="P349" s="3">
        <v>22</v>
      </c>
      <c r="Q349" s="3" t="s">
        <v>724</v>
      </c>
      <c r="R349" s="3">
        <v>63</v>
      </c>
      <c r="S349" s="3">
        <v>41</v>
      </c>
      <c r="T349" s="3">
        <v>1639</v>
      </c>
      <c r="U349" s="3">
        <v>598</v>
      </c>
      <c r="V349" s="3">
        <v>849</v>
      </c>
      <c r="W349" s="3">
        <v>155</v>
      </c>
      <c r="X349" s="3">
        <v>81.556195965417871</v>
      </c>
      <c r="Y349" s="3">
        <v>5.4774193548387098</v>
      </c>
    </row>
    <row r="350" spans="1:25">
      <c r="A350" s="3" t="s">
        <v>725</v>
      </c>
      <c r="B350" s="3">
        <v>1</v>
      </c>
      <c r="C350" s="3">
        <v>0</v>
      </c>
      <c r="D350" s="3">
        <v>0</v>
      </c>
      <c r="E350" s="3">
        <v>0</v>
      </c>
      <c r="F350" s="3">
        <v>0</v>
      </c>
      <c r="G350" s="3">
        <v>1</v>
      </c>
      <c r="H350" s="3">
        <v>63</v>
      </c>
      <c r="I350" s="3">
        <v>168</v>
      </c>
      <c r="J350" s="3">
        <v>72</v>
      </c>
      <c r="K350" s="3">
        <v>25.510204081632658</v>
      </c>
      <c r="L350" s="3">
        <v>5</v>
      </c>
      <c r="M350" s="3">
        <v>32</v>
      </c>
      <c r="N350" s="3">
        <v>41</v>
      </c>
      <c r="O350" s="3">
        <v>5</v>
      </c>
      <c r="P350" s="3">
        <v>2</v>
      </c>
      <c r="Q350" s="3" t="s">
        <v>726</v>
      </c>
      <c r="R350" s="3">
        <v>48</v>
      </c>
      <c r="S350" s="3">
        <v>33</v>
      </c>
      <c r="T350" s="3">
        <v>939</v>
      </c>
      <c r="U350" s="3">
        <v>565</v>
      </c>
      <c r="V350" s="3">
        <v>133</v>
      </c>
      <c r="W350" s="3">
        <v>183</v>
      </c>
      <c r="X350" s="3">
        <v>35.561497326203209</v>
      </c>
      <c r="Y350" s="3">
        <v>0.72677595628415304</v>
      </c>
    </row>
    <row r="351" spans="1:25">
      <c r="A351" s="3" t="s">
        <v>727</v>
      </c>
      <c r="B351" s="3">
        <v>0</v>
      </c>
      <c r="C351" s="3">
        <v>1</v>
      </c>
      <c r="D351" s="3">
        <v>0</v>
      </c>
      <c r="E351" s="3">
        <v>1</v>
      </c>
      <c r="F351" s="3">
        <v>1</v>
      </c>
      <c r="G351" s="3">
        <v>1</v>
      </c>
      <c r="H351" s="3">
        <v>21</v>
      </c>
      <c r="I351" s="3">
        <v>185</v>
      </c>
      <c r="J351" s="3">
        <v>70</v>
      </c>
      <c r="K351" s="3">
        <v>20.45288531775018</v>
      </c>
      <c r="L351" s="3">
        <v>8</v>
      </c>
      <c r="M351" s="3">
        <v>26</v>
      </c>
      <c r="N351" s="3">
        <v>72</v>
      </c>
      <c r="O351" s="3">
        <v>28</v>
      </c>
      <c r="P351" s="3">
        <v>14</v>
      </c>
      <c r="Q351" s="3" t="s">
        <v>728</v>
      </c>
      <c r="R351" s="3">
        <v>76</v>
      </c>
      <c r="S351" s="3">
        <v>41</v>
      </c>
      <c r="T351" s="3">
        <v>1812</v>
      </c>
      <c r="U351" s="3">
        <v>628</v>
      </c>
      <c r="V351" s="3">
        <v>734</v>
      </c>
      <c r="W351" s="3">
        <v>360</v>
      </c>
      <c r="X351" s="3">
        <v>61.993243243243242</v>
      </c>
      <c r="Y351" s="3">
        <v>2.0388888888888888</v>
      </c>
    </row>
    <row r="352" spans="1:25">
      <c r="A352" s="3" t="s">
        <v>729</v>
      </c>
      <c r="B352" s="3">
        <v>0</v>
      </c>
      <c r="C352" s="3">
        <v>1</v>
      </c>
      <c r="D352" s="3">
        <v>0</v>
      </c>
      <c r="E352" s="3">
        <v>0</v>
      </c>
      <c r="F352" s="3">
        <v>1</v>
      </c>
      <c r="G352" s="3">
        <v>0</v>
      </c>
      <c r="H352" s="3">
        <v>23</v>
      </c>
      <c r="I352" s="3">
        <v>163</v>
      </c>
      <c r="J352" s="3">
        <v>57</v>
      </c>
      <c r="K352" s="3">
        <v>21.453573713726524</v>
      </c>
      <c r="L352" s="3">
        <v>11</v>
      </c>
      <c r="M352" s="3">
        <v>44</v>
      </c>
      <c r="N352" s="3">
        <v>65</v>
      </c>
      <c r="O352" s="3">
        <v>17</v>
      </c>
      <c r="P352" s="3">
        <v>20</v>
      </c>
      <c r="Q352" s="3" t="s">
        <v>730</v>
      </c>
      <c r="R352" s="3">
        <v>71</v>
      </c>
      <c r="S352" s="3">
        <v>50</v>
      </c>
      <c r="T352" s="3">
        <v>2430</v>
      </c>
      <c r="U352" s="3">
        <v>1075</v>
      </c>
      <c r="V352" s="3">
        <v>612</v>
      </c>
      <c r="W352" s="3">
        <v>670</v>
      </c>
      <c r="X352" s="3">
        <v>45.166051660516608</v>
      </c>
      <c r="Y352" s="3">
        <v>0.91343283582089552</v>
      </c>
    </row>
    <row r="353" spans="1:25">
      <c r="A353" s="3" t="s">
        <v>731</v>
      </c>
      <c r="B353" s="3">
        <v>1</v>
      </c>
      <c r="C353" s="3">
        <v>0</v>
      </c>
      <c r="D353" s="3">
        <v>0</v>
      </c>
      <c r="E353" s="3">
        <v>0</v>
      </c>
      <c r="F353" s="3">
        <v>0</v>
      </c>
      <c r="G353" s="3">
        <v>1</v>
      </c>
      <c r="H353" s="3">
        <v>67</v>
      </c>
      <c r="I353" s="3">
        <v>172</v>
      </c>
      <c r="J353" s="3">
        <v>70</v>
      </c>
      <c r="K353" s="3">
        <v>23.661438615467823</v>
      </c>
      <c r="L353" s="3">
        <v>0</v>
      </c>
      <c r="M353" s="3">
        <v>0</v>
      </c>
      <c r="N353" s="3">
        <v>49</v>
      </c>
      <c r="O353" s="3">
        <v>0</v>
      </c>
      <c r="P353" s="3">
        <v>0</v>
      </c>
      <c r="Q353" s="3" t="s">
        <v>732</v>
      </c>
      <c r="R353" s="3">
        <v>68</v>
      </c>
      <c r="S353" s="3">
        <v>17</v>
      </c>
      <c r="T353" s="3">
        <v>292</v>
      </c>
      <c r="U353" s="3">
        <v>113</v>
      </c>
      <c r="V353" s="3">
        <v>96</v>
      </c>
      <c r="W353" s="3">
        <v>62</v>
      </c>
      <c r="X353" s="3">
        <v>53.631284916201118</v>
      </c>
      <c r="Y353" s="3">
        <v>1.5483870967741935</v>
      </c>
    </row>
    <row r="354" spans="1:25">
      <c r="A354" s="3" t="s">
        <v>733</v>
      </c>
      <c r="B354" s="3">
        <v>1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39</v>
      </c>
      <c r="I354" s="3">
        <v>157</v>
      </c>
      <c r="J354" s="3">
        <v>49</v>
      </c>
      <c r="K354" s="3">
        <v>19.879102600511175</v>
      </c>
      <c r="L354" s="3">
        <v>4</v>
      </c>
      <c r="M354" s="3">
        <v>0</v>
      </c>
      <c r="N354" s="3">
        <v>46</v>
      </c>
      <c r="O354" s="3">
        <v>7</v>
      </c>
      <c r="P354" s="3">
        <v>2</v>
      </c>
      <c r="Q354" s="3" t="s">
        <v>734</v>
      </c>
      <c r="R354" s="3">
        <v>97</v>
      </c>
      <c r="S354" s="3">
        <v>242</v>
      </c>
      <c r="T354" s="3">
        <v>38335</v>
      </c>
      <c r="U354" s="3">
        <v>11125</v>
      </c>
      <c r="V354" s="3">
        <v>7534</v>
      </c>
      <c r="W354" s="3">
        <v>10586</v>
      </c>
      <c r="X354" s="3">
        <v>27.688349871370818</v>
      </c>
      <c r="Y354" s="3">
        <v>0.71169469110145478</v>
      </c>
    </row>
    <row r="355" spans="1:25">
      <c r="A355" s="3" t="s">
        <v>735</v>
      </c>
      <c r="B355" s="3">
        <v>1</v>
      </c>
      <c r="C355" s="3">
        <v>0</v>
      </c>
      <c r="D355" s="3">
        <v>0</v>
      </c>
      <c r="E355" s="3">
        <v>0</v>
      </c>
      <c r="F355" s="3">
        <v>0</v>
      </c>
      <c r="G355" s="3">
        <v>1</v>
      </c>
      <c r="H355" s="3">
        <v>69</v>
      </c>
      <c r="I355" s="3">
        <v>172</v>
      </c>
      <c r="J355" s="3">
        <v>68</v>
      </c>
      <c r="K355" s="3">
        <v>22.985397512168742</v>
      </c>
      <c r="L355" s="3">
        <v>0</v>
      </c>
      <c r="M355" s="3">
        <v>4</v>
      </c>
      <c r="N355" s="3">
        <v>64</v>
      </c>
      <c r="O355" s="3">
        <v>5</v>
      </c>
      <c r="P355" s="3">
        <v>0</v>
      </c>
      <c r="Q355" s="3" t="s">
        <v>736</v>
      </c>
      <c r="R355" s="3">
        <v>81</v>
      </c>
      <c r="S355" s="3">
        <v>58</v>
      </c>
      <c r="T355" s="3">
        <v>2825</v>
      </c>
      <c r="U355" s="3">
        <v>590</v>
      </c>
      <c r="V355" s="3">
        <v>348</v>
      </c>
      <c r="W355" s="3">
        <v>1082</v>
      </c>
      <c r="X355" s="3">
        <v>15.570469798657719</v>
      </c>
      <c r="Y355" s="3">
        <v>0.32162661737523107</v>
      </c>
    </row>
    <row r="356" spans="1:25">
      <c r="A356" s="3" t="s">
        <v>737</v>
      </c>
      <c r="B356" s="3">
        <v>0</v>
      </c>
      <c r="C356" s="3">
        <v>0</v>
      </c>
      <c r="D356" s="3">
        <v>0</v>
      </c>
      <c r="E356" s="3">
        <v>0</v>
      </c>
      <c r="F356" s="3">
        <v>1</v>
      </c>
      <c r="G356" s="3">
        <v>0</v>
      </c>
      <c r="H356" s="3">
        <v>51</v>
      </c>
      <c r="I356" s="3">
        <v>178</v>
      </c>
      <c r="J356" s="3">
        <v>77</v>
      </c>
      <c r="K356" s="3">
        <v>24.302487059714682</v>
      </c>
      <c r="L356" s="3">
        <v>7</v>
      </c>
      <c r="M356" s="3">
        <v>12</v>
      </c>
      <c r="N356" s="3">
        <v>54</v>
      </c>
      <c r="O356" s="3">
        <v>5</v>
      </c>
      <c r="P356" s="3">
        <v>10</v>
      </c>
      <c r="Q356" s="3" t="s">
        <v>738</v>
      </c>
      <c r="R356" s="3">
        <v>61</v>
      </c>
      <c r="S356" s="3">
        <v>27</v>
      </c>
      <c r="T356" s="3">
        <v>729</v>
      </c>
      <c r="U356" s="3">
        <v>462</v>
      </c>
      <c r="V356" s="3">
        <v>142</v>
      </c>
      <c r="W356" s="3">
        <v>93</v>
      </c>
      <c r="X356" s="3">
        <v>53.183520599250933</v>
      </c>
      <c r="Y356" s="3">
        <v>1.5268817204301075</v>
      </c>
    </row>
    <row r="357" spans="1:25">
      <c r="A357" s="3" t="s">
        <v>739</v>
      </c>
      <c r="B357" s="3">
        <v>0</v>
      </c>
      <c r="C357" s="3">
        <v>1</v>
      </c>
      <c r="D357" s="3">
        <v>0</v>
      </c>
      <c r="E357" s="3">
        <v>0</v>
      </c>
      <c r="F357" s="3">
        <v>1</v>
      </c>
      <c r="G357" s="3">
        <v>0</v>
      </c>
      <c r="H357" s="3">
        <v>52</v>
      </c>
      <c r="I357" s="3">
        <v>158</v>
      </c>
      <c r="J357" s="3">
        <v>57</v>
      </c>
      <c r="K357" s="3">
        <v>22.832879346258608</v>
      </c>
      <c r="L357" s="3">
        <v>11</v>
      </c>
      <c r="M357" s="3">
        <v>4</v>
      </c>
      <c r="N357" s="3">
        <v>38</v>
      </c>
      <c r="O357" s="3">
        <v>15</v>
      </c>
      <c r="P357" s="3">
        <v>14</v>
      </c>
      <c r="Q357" s="3" t="s">
        <v>740</v>
      </c>
      <c r="R357" s="3">
        <v>69</v>
      </c>
      <c r="S357" s="3">
        <v>40</v>
      </c>
      <c r="T357" s="3">
        <v>1565</v>
      </c>
      <c r="U357" s="3">
        <v>924</v>
      </c>
      <c r="V357" s="3">
        <v>309</v>
      </c>
      <c r="W357" s="3">
        <v>224</v>
      </c>
      <c r="X357" s="3">
        <v>48.205928237129484</v>
      </c>
      <c r="Y357" s="3">
        <v>1.3794642857142858</v>
      </c>
    </row>
    <row r="358" spans="1:25">
      <c r="A358" s="3" t="s">
        <v>741</v>
      </c>
      <c r="B358" s="3">
        <v>0</v>
      </c>
      <c r="C358" s="3">
        <v>0</v>
      </c>
      <c r="D358" s="3">
        <v>0</v>
      </c>
      <c r="E358" s="3">
        <v>0</v>
      </c>
      <c r="F358" s="3">
        <v>1</v>
      </c>
      <c r="G358" s="3">
        <v>1</v>
      </c>
      <c r="H358" s="3">
        <v>51</v>
      </c>
      <c r="I358" s="3">
        <v>165</v>
      </c>
      <c r="J358" s="3">
        <v>65</v>
      </c>
      <c r="K358" s="3">
        <v>23.875114784205696</v>
      </c>
      <c r="L358" s="3">
        <v>13</v>
      </c>
      <c r="M358" s="3">
        <v>19</v>
      </c>
      <c r="N358" s="3">
        <v>39</v>
      </c>
      <c r="O358" s="3">
        <v>17</v>
      </c>
      <c r="P358" s="3">
        <v>16</v>
      </c>
      <c r="Q358" s="3" t="s">
        <v>742</v>
      </c>
      <c r="R358" s="3">
        <v>57</v>
      </c>
      <c r="S358" s="3">
        <v>32</v>
      </c>
      <c r="T358" s="3">
        <v>1082</v>
      </c>
      <c r="U358" s="3">
        <v>784</v>
      </c>
      <c r="V358" s="3">
        <v>179</v>
      </c>
      <c r="W358" s="3">
        <v>92</v>
      </c>
      <c r="X358" s="3">
        <v>60.067114093959731</v>
      </c>
      <c r="Y358" s="3">
        <v>1.9456521739130435</v>
      </c>
    </row>
    <row r="359" spans="1:25">
      <c r="A359" s="3" t="s">
        <v>743</v>
      </c>
      <c r="B359" s="3">
        <v>0</v>
      </c>
      <c r="C359" s="3">
        <v>1</v>
      </c>
      <c r="D359" s="3">
        <v>1</v>
      </c>
      <c r="E359" s="3">
        <v>0</v>
      </c>
      <c r="F359" s="3">
        <v>0</v>
      </c>
      <c r="G359" s="3">
        <v>0</v>
      </c>
      <c r="H359" s="3">
        <v>37</v>
      </c>
      <c r="I359" s="3">
        <v>163</v>
      </c>
      <c r="J359" s="3">
        <v>60</v>
      </c>
      <c r="K359" s="3">
        <v>22.582709172343712</v>
      </c>
      <c r="L359" s="3">
        <v>24</v>
      </c>
      <c r="M359" s="3">
        <v>23</v>
      </c>
      <c r="N359" s="3">
        <v>61</v>
      </c>
      <c r="O359" s="3">
        <v>36</v>
      </c>
      <c r="P359" s="3">
        <v>20</v>
      </c>
      <c r="Q359" s="3" t="s">
        <v>744</v>
      </c>
      <c r="R359" s="3">
        <v>66</v>
      </c>
      <c r="S359" s="3">
        <v>36</v>
      </c>
      <c r="T359" s="3">
        <v>1368</v>
      </c>
      <c r="U359" s="3">
        <v>655</v>
      </c>
      <c r="V359" s="3">
        <v>219</v>
      </c>
      <c r="W359" s="3">
        <v>440</v>
      </c>
      <c r="X359" s="3">
        <v>30.715287517531557</v>
      </c>
      <c r="Y359" s="3">
        <v>0.49772727272727274</v>
      </c>
    </row>
    <row r="360" spans="1:25">
      <c r="A360" s="3" t="s">
        <v>745</v>
      </c>
      <c r="B360" s="3">
        <v>0</v>
      </c>
      <c r="C360" s="3">
        <v>0</v>
      </c>
      <c r="D360" s="3">
        <v>0</v>
      </c>
      <c r="E360" s="3">
        <v>0</v>
      </c>
      <c r="F360" s="3">
        <v>1</v>
      </c>
      <c r="G360" s="3">
        <v>1</v>
      </c>
      <c r="H360" s="3">
        <v>56</v>
      </c>
      <c r="I360" s="3">
        <v>173</v>
      </c>
      <c r="J360" s="3">
        <v>65</v>
      </c>
      <c r="K360" s="3">
        <v>21.718066089745729</v>
      </c>
      <c r="L360" s="3">
        <v>8</v>
      </c>
      <c r="M360" s="3">
        <v>11</v>
      </c>
      <c r="N360" s="3">
        <v>48</v>
      </c>
      <c r="O360" s="3">
        <v>14</v>
      </c>
      <c r="P360" s="3">
        <v>3</v>
      </c>
      <c r="Q360" s="3" t="s">
        <v>746</v>
      </c>
      <c r="R360" s="3">
        <v>72</v>
      </c>
      <c r="S360" s="3">
        <v>33</v>
      </c>
      <c r="T360" s="3">
        <v>1018</v>
      </c>
      <c r="U360" s="3">
        <v>393</v>
      </c>
      <c r="V360" s="3">
        <v>157</v>
      </c>
      <c r="W360" s="3">
        <v>361</v>
      </c>
      <c r="X360" s="3">
        <v>25.12</v>
      </c>
      <c r="Y360" s="3">
        <v>0.43490304709141275</v>
      </c>
    </row>
    <row r="361" spans="1:25">
      <c r="A361" s="3" t="s">
        <v>747</v>
      </c>
      <c r="B361" s="3">
        <v>0</v>
      </c>
      <c r="C361" s="3">
        <v>0</v>
      </c>
      <c r="D361" s="3">
        <v>1</v>
      </c>
      <c r="E361" s="3">
        <v>0</v>
      </c>
      <c r="F361" s="3">
        <v>1</v>
      </c>
      <c r="G361" s="3">
        <v>0</v>
      </c>
      <c r="H361" s="3">
        <v>52</v>
      </c>
      <c r="I361" s="3">
        <v>163</v>
      </c>
      <c r="J361" s="3">
        <v>64</v>
      </c>
      <c r="K361" s="3">
        <v>24.088223117166624</v>
      </c>
      <c r="L361" s="3">
        <v>19</v>
      </c>
      <c r="M361" s="3">
        <v>37</v>
      </c>
      <c r="N361" s="3">
        <v>65</v>
      </c>
      <c r="O361" s="3">
        <v>21</v>
      </c>
      <c r="P361" s="3">
        <v>34</v>
      </c>
      <c r="Q361" s="3" t="s">
        <v>748</v>
      </c>
      <c r="R361" s="3">
        <v>75</v>
      </c>
      <c r="S361" s="3">
        <v>38</v>
      </c>
      <c r="T361" s="3">
        <v>1403</v>
      </c>
      <c r="U361" s="3">
        <v>464</v>
      </c>
      <c r="V361" s="3">
        <v>172</v>
      </c>
      <c r="W361" s="3">
        <v>722</v>
      </c>
      <c r="X361" s="3">
        <v>18.317358892438765</v>
      </c>
      <c r="Y361" s="3">
        <v>0.23822714681440443</v>
      </c>
    </row>
    <row r="362" spans="1:25">
      <c r="A362" s="3" t="s">
        <v>749</v>
      </c>
      <c r="B362" s="3">
        <v>0</v>
      </c>
      <c r="C362" s="3">
        <v>0</v>
      </c>
      <c r="D362" s="3">
        <v>0</v>
      </c>
      <c r="E362" s="3">
        <v>1</v>
      </c>
      <c r="F362" s="3">
        <v>0</v>
      </c>
      <c r="G362" s="3">
        <v>1</v>
      </c>
      <c r="H362" s="3">
        <v>37</v>
      </c>
      <c r="I362" s="3">
        <v>170</v>
      </c>
      <c r="J362" s="3">
        <v>74</v>
      </c>
      <c r="K362" s="3">
        <v>25.605536332179934</v>
      </c>
      <c r="L362" s="3">
        <v>10</v>
      </c>
      <c r="M362" s="3">
        <v>30</v>
      </c>
      <c r="N362" s="3">
        <v>53</v>
      </c>
      <c r="O362" s="3">
        <v>24</v>
      </c>
      <c r="P362" s="3">
        <v>14</v>
      </c>
      <c r="Q362" s="3" t="s">
        <v>750</v>
      </c>
      <c r="R362" s="3">
        <v>82</v>
      </c>
      <c r="S362" s="3">
        <v>15</v>
      </c>
      <c r="T362" s="3">
        <v>279</v>
      </c>
      <c r="U362" s="3">
        <v>199</v>
      </c>
      <c r="V362" s="3">
        <v>53</v>
      </c>
      <c r="W362" s="3">
        <v>22</v>
      </c>
      <c r="X362" s="3">
        <v>66.25</v>
      </c>
      <c r="Y362" s="3">
        <v>2.4090909090909092</v>
      </c>
    </row>
    <row r="363" spans="1:25">
      <c r="A363" s="3" t="s">
        <v>751</v>
      </c>
      <c r="B363" s="3">
        <v>0</v>
      </c>
      <c r="C363" s="3">
        <v>0</v>
      </c>
      <c r="D363" s="3">
        <v>0</v>
      </c>
      <c r="E363" s="3">
        <v>0</v>
      </c>
      <c r="F363" s="3">
        <v>1</v>
      </c>
      <c r="G363" s="3">
        <v>0</v>
      </c>
      <c r="H363" s="3">
        <v>58</v>
      </c>
      <c r="I363" s="3">
        <v>163</v>
      </c>
      <c r="J363" s="3">
        <v>58</v>
      </c>
      <c r="K363" s="3">
        <v>21.829952199932254</v>
      </c>
      <c r="L363" s="3">
        <v>14</v>
      </c>
      <c r="M363" s="3">
        <v>16</v>
      </c>
      <c r="N363" s="3">
        <v>76</v>
      </c>
      <c r="O363" s="3">
        <v>5</v>
      </c>
      <c r="P363" s="3">
        <v>13</v>
      </c>
      <c r="Q363" s="3" t="s">
        <v>752</v>
      </c>
      <c r="R363" s="3">
        <v>79</v>
      </c>
      <c r="S363" s="3">
        <v>177</v>
      </c>
      <c r="T363" s="3">
        <v>21728</v>
      </c>
      <c r="U363" s="3">
        <v>597</v>
      </c>
      <c r="V363" s="3">
        <v>801</v>
      </c>
      <c r="W363" s="3">
        <v>1447</v>
      </c>
      <c r="X363" s="3">
        <v>3.7906393450380955</v>
      </c>
      <c r="Y363" s="3">
        <v>0.55355908776779539</v>
      </c>
    </row>
    <row r="364" spans="1:25">
      <c r="A364" s="3" t="s">
        <v>753</v>
      </c>
      <c r="B364" s="3">
        <v>1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40</v>
      </c>
      <c r="I364" s="3">
        <v>145</v>
      </c>
      <c r="J364" s="3">
        <v>43</v>
      </c>
      <c r="K364" s="3">
        <v>20.451843043995243</v>
      </c>
      <c r="L364" s="3">
        <v>8</v>
      </c>
      <c r="M364" s="3">
        <v>17</v>
      </c>
      <c r="N364" s="3">
        <v>45</v>
      </c>
      <c r="O364" s="3">
        <v>3</v>
      </c>
      <c r="P364" s="3">
        <v>9</v>
      </c>
      <c r="Q364" s="3" t="s">
        <v>754</v>
      </c>
      <c r="R364" s="3">
        <v>81</v>
      </c>
      <c r="S364" s="3">
        <v>18</v>
      </c>
      <c r="T364" s="3">
        <v>403</v>
      </c>
      <c r="U364" s="3">
        <v>168</v>
      </c>
      <c r="V364" s="3">
        <v>117</v>
      </c>
      <c r="W364" s="3">
        <v>100</v>
      </c>
      <c r="X364" s="3">
        <v>49.787234042553195</v>
      </c>
      <c r="Y364" s="3">
        <v>1.17</v>
      </c>
    </row>
    <row r="365" spans="1:25">
      <c r="A365" s="3" t="s">
        <v>755</v>
      </c>
      <c r="B365" s="3">
        <v>0</v>
      </c>
      <c r="C365" s="3">
        <v>0</v>
      </c>
      <c r="D365" s="3">
        <v>0</v>
      </c>
      <c r="E365" s="3">
        <v>1</v>
      </c>
      <c r="F365" s="3">
        <v>0</v>
      </c>
      <c r="G365" s="3">
        <v>0</v>
      </c>
      <c r="H365" s="3">
        <v>23</v>
      </c>
      <c r="I365" s="3">
        <v>158</v>
      </c>
      <c r="J365" s="3">
        <v>57</v>
      </c>
      <c r="K365" s="3">
        <v>22.832879346258608</v>
      </c>
      <c r="L365" s="3">
        <v>14</v>
      </c>
      <c r="M365" s="3">
        <v>39</v>
      </c>
      <c r="N365" s="3">
        <v>66</v>
      </c>
      <c r="O365" s="3">
        <v>50</v>
      </c>
      <c r="P365" s="3">
        <v>22</v>
      </c>
      <c r="Q365" s="3" t="s">
        <v>756</v>
      </c>
      <c r="R365" s="3">
        <v>79</v>
      </c>
      <c r="S365" s="3">
        <v>46</v>
      </c>
      <c r="T365" s="3">
        <v>2008</v>
      </c>
      <c r="U365" s="3">
        <v>509</v>
      </c>
      <c r="V365" s="3">
        <v>296</v>
      </c>
      <c r="W365" s="3">
        <v>113</v>
      </c>
      <c r="X365" s="3">
        <v>19.746497665110073</v>
      </c>
      <c r="Y365" s="3">
        <v>2.6194690265486726</v>
      </c>
    </row>
    <row r="380" spans="17:17">
      <c r="Q380" s="7"/>
    </row>
    <row r="392" spans="17:17" s="4" customFormat="1">
      <c r="Q392" s="3"/>
    </row>
    <row r="394" spans="17:17" s="4" customFormat="1">
      <c r="Q394" s="3"/>
    </row>
    <row r="400" spans="17:17" s="4" customFormat="1">
      <c r="Q400" s="7"/>
    </row>
    <row r="401" spans="17:17" s="4" customFormat="1">
      <c r="Q401" s="7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311B5-B663-4410-8F0B-90064202024C}">
  <sheetPr filterMode="1"/>
  <dimension ref="A1:AA867"/>
  <sheetViews>
    <sheetView topLeftCell="B669" workbookViewId="0">
      <selection activeCell="F3" sqref="F3:F867"/>
    </sheetView>
  </sheetViews>
  <sheetFormatPr defaultRowHeight="15.75"/>
  <cols>
    <col min="1" max="1" width="5.42578125" bestFit="1" customWidth="1"/>
    <col min="2" max="2" width="5.140625" bestFit="1" customWidth="1"/>
    <col min="3" max="3" width="13" bestFit="1" customWidth="1"/>
    <col min="4" max="4" width="7.85546875" bestFit="1" customWidth="1"/>
    <col min="5" max="5" width="5.85546875" bestFit="1" customWidth="1"/>
    <col min="6" max="7" width="6.85546875" bestFit="1" customWidth="1"/>
    <col min="8" max="8" width="6.42578125" bestFit="1" customWidth="1"/>
    <col min="9" max="9" width="5.28515625" bestFit="1" customWidth="1"/>
    <col min="10" max="10" width="6.140625" bestFit="1" customWidth="1"/>
    <col min="11" max="11" width="9.7109375" bestFit="1" customWidth="1"/>
    <col min="12" max="12" width="13" bestFit="1" customWidth="1"/>
    <col min="13" max="14" width="9.7109375" bestFit="1" customWidth="1"/>
    <col min="15" max="15" width="9.7109375" customWidth="1"/>
    <col min="16" max="16" width="7.7109375" bestFit="1" customWidth="1"/>
    <col min="17" max="27" width="13" bestFit="1" customWidth="1"/>
  </cols>
  <sheetData>
    <row r="1" spans="1:27" ht="16.5" thickBot="1">
      <c r="A1" s="10" t="s">
        <v>0</v>
      </c>
      <c r="B1" s="10" t="s">
        <v>1</v>
      </c>
      <c r="C1" s="10" t="s">
        <v>2</v>
      </c>
      <c r="D1" s="10" t="s">
        <v>764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765</v>
      </c>
      <c r="M1" s="10" t="s">
        <v>11</v>
      </c>
      <c r="N1" s="10" t="s">
        <v>12</v>
      </c>
      <c r="O1" s="11" t="s">
        <v>13</v>
      </c>
      <c r="P1" s="10" t="s">
        <v>10</v>
      </c>
      <c r="Q1" s="10" t="s">
        <v>766</v>
      </c>
      <c r="R1" s="10" t="s">
        <v>14</v>
      </c>
      <c r="S1" s="10" t="s">
        <v>15</v>
      </c>
      <c r="T1" s="10" t="s">
        <v>16</v>
      </c>
      <c r="U1" s="10" t="s">
        <v>17</v>
      </c>
      <c r="V1" s="10" t="s">
        <v>18</v>
      </c>
      <c r="W1" s="10" t="s">
        <v>19</v>
      </c>
      <c r="X1" s="10" t="s">
        <v>20</v>
      </c>
      <c r="Y1" s="10" t="s">
        <v>21</v>
      </c>
      <c r="Z1" s="10" t="s">
        <v>767</v>
      </c>
      <c r="AA1" s="10" t="s">
        <v>768</v>
      </c>
    </row>
    <row r="2" spans="1:27" hidden="1">
      <c r="A2">
        <v>45</v>
      </c>
      <c r="B2">
        <v>0</v>
      </c>
      <c r="C2">
        <v>21.359306</v>
      </c>
      <c r="D2">
        <v>0</v>
      </c>
      <c r="E2">
        <v>1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66.893790932093438</v>
      </c>
      <c r="M2">
        <v>90.04</v>
      </c>
      <c r="N2">
        <v>132.76</v>
      </c>
      <c r="O2">
        <v>0.68</v>
      </c>
      <c r="P2">
        <v>55.16</v>
      </c>
      <c r="Q2">
        <v>31.124219446263741</v>
      </c>
      <c r="R2">
        <v>0.21</v>
      </c>
      <c r="S2">
        <v>25.9</v>
      </c>
      <c r="T2">
        <v>7.86</v>
      </c>
      <c r="U2">
        <v>10.81020757020757</v>
      </c>
      <c r="V2">
        <v>22.158889284550568</v>
      </c>
      <c r="W2">
        <v>58.443047435091813</v>
      </c>
      <c r="X2">
        <v>20.581544882662911</v>
      </c>
      <c r="Y2">
        <v>15.560272832722831</v>
      </c>
      <c r="Z2">
        <v>3215.9209670125611</v>
      </c>
      <c r="AA2">
        <v>1743.5054636752141</v>
      </c>
    </row>
    <row r="3" spans="1:27">
      <c r="A3">
        <v>42</v>
      </c>
      <c r="B3">
        <v>0</v>
      </c>
      <c r="C3">
        <v>26.171875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91.171029761904762</v>
      </c>
      <c r="M3">
        <v>6.4</v>
      </c>
      <c r="N3">
        <v>2.9</v>
      </c>
      <c r="O3">
        <v>2.21</v>
      </c>
      <c r="P3">
        <v>15.4</v>
      </c>
      <c r="Q3">
        <v>63.23093889468614</v>
      </c>
      <c r="R3">
        <v>0.99</v>
      </c>
      <c r="S3">
        <v>34.26</v>
      </c>
      <c r="T3">
        <v>2.27</v>
      </c>
      <c r="U3">
        <v>14.44858241758241</v>
      </c>
      <c r="V3">
        <v>28.272198479023789</v>
      </c>
      <c r="W3">
        <v>80.457992063492057</v>
      </c>
      <c r="X3">
        <v>29.65515309809922</v>
      </c>
      <c r="Y3">
        <v>27.393970085470091</v>
      </c>
      <c r="Z3">
        <v>260.17529761904751</v>
      </c>
      <c r="AA3">
        <v>175.27146520146519</v>
      </c>
    </row>
    <row r="4" spans="1:27">
      <c r="A4">
        <v>29</v>
      </c>
      <c r="B4">
        <v>0</v>
      </c>
      <c r="C4">
        <v>30.48338</v>
      </c>
      <c r="D4">
        <v>0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68.171953894407451</v>
      </c>
      <c r="M4">
        <v>128.44</v>
      </c>
      <c r="N4">
        <v>196.7</v>
      </c>
      <c r="O4">
        <v>0.65</v>
      </c>
      <c r="P4">
        <v>62.88</v>
      </c>
      <c r="Q4">
        <v>35.246251582729109</v>
      </c>
      <c r="R4">
        <v>0.56999999999999995</v>
      </c>
      <c r="S4">
        <v>33.6</v>
      </c>
      <c r="T4">
        <v>7.87</v>
      </c>
      <c r="U4">
        <v>13.754966864834509</v>
      </c>
      <c r="V4">
        <v>31.849040866054018</v>
      </c>
      <c r="W4">
        <v>70.775665337586375</v>
      </c>
      <c r="X4">
        <v>28.212967077175708</v>
      </c>
      <c r="Y4">
        <v>22.579513736263738</v>
      </c>
      <c r="Z4">
        <v>3477.2531071428571</v>
      </c>
      <c r="AA4">
        <v>1942.256816940838</v>
      </c>
    </row>
    <row r="5" spans="1:27">
      <c r="A5">
        <v>22</v>
      </c>
      <c r="B5">
        <v>1</v>
      </c>
      <c r="C5">
        <v>28.405504000000001</v>
      </c>
      <c r="D5">
        <v>0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  <c r="K5">
        <v>1</v>
      </c>
      <c r="L5">
        <v>93.477807321333657</v>
      </c>
      <c r="M5">
        <v>24.88</v>
      </c>
      <c r="N5">
        <v>14.16</v>
      </c>
      <c r="O5">
        <v>1.76</v>
      </c>
      <c r="P5">
        <v>19.98</v>
      </c>
      <c r="Q5">
        <v>55.062105269853731</v>
      </c>
      <c r="R5">
        <v>0.17</v>
      </c>
      <c r="S5">
        <v>34.270000000000003</v>
      </c>
      <c r="T5">
        <v>3.82</v>
      </c>
      <c r="U5">
        <v>11.766415945165949</v>
      </c>
      <c r="V5">
        <v>29.641770954934969</v>
      </c>
      <c r="W5">
        <v>77.722857142857123</v>
      </c>
      <c r="X5">
        <v>35.109565886699507</v>
      </c>
      <c r="Y5">
        <v>25.74124786324786</v>
      </c>
      <c r="Z5">
        <v>538.91790476190499</v>
      </c>
      <c r="AA5">
        <v>228.29510264735259</v>
      </c>
    </row>
    <row r="6" spans="1:27">
      <c r="A6">
        <v>29</v>
      </c>
      <c r="B6">
        <v>0</v>
      </c>
      <c r="C6">
        <v>20.957170000000001</v>
      </c>
      <c r="D6">
        <v>0</v>
      </c>
      <c r="E6">
        <v>1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105.15240656565661</v>
      </c>
      <c r="M6">
        <v>4.67</v>
      </c>
      <c r="N6">
        <v>2.93</v>
      </c>
      <c r="O6">
        <v>1.59</v>
      </c>
      <c r="P6">
        <v>12.34</v>
      </c>
      <c r="Q6">
        <v>61.250992184414947</v>
      </c>
      <c r="R6">
        <v>0.61</v>
      </c>
      <c r="S6">
        <v>34.56</v>
      </c>
      <c r="T6">
        <v>3.83</v>
      </c>
      <c r="U6">
        <v>19.672817460317461</v>
      </c>
      <c r="V6">
        <v>29.30187413303543</v>
      </c>
      <c r="W6">
        <v>68.494888888888866</v>
      </c>
      <c r="X6">
        <v>37.283212301587298</v>
      </c>
      <c r="Y6">
        <v>35.604511904761907</v>
      </c>
      <c r="Z6">
        <v>152.64942279942281</v>
      </c>
      <c r="AA6">
        <v>76.399690476190472</v>
      </c>
    </row>
    <row r="7" spans="1:27">
      <c r="A7">
        <v>31</v>
      </c>
      <c r="B7">
        <v>0</v>
      </c>
      <c r="C7">
        <v>18.10614</v>
      </c>
      <c r="D7">
        <v>0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68.132861263005992</v>
      </c>
      <c r="M7">
        <v>529.23</v>
      </c>
      <c r="N7">
        <v>495.21</v>
      </c>
      <c r="O7">
        <v>1.07</v>
      </c>
      <c r="P7">
        <v>112.97</v>
      </c>
      <c r="Q7">
        <v>51.106067065813789</v>
      </c>
      <c r="R7">
        <v>0.16</v>
      </c>
      <c r="S7">
        <v>26.46</v>
      </c>
      <c r="T7">
        <v>13.52</v>
      </c>
      <c r="U7">
        <v>12.618976138240839</v>
      </c>
      <c r="V7">
        <v>29.905152236652231</v>
      </c>
      <c r="W7">
        <v>60.701849769853823</v>
      </c>
      <c r="X7">
        <v>28.78832076719576</v>
      </c>
      <c r="Y7">
        <v>25.376651542901541</v>
      </c>
      <c r="Z7">
        <v>5184.971988095238</v>
      </c>
      <c r="AA7">
        <v>2534.3641483102451</v>
      </c>
    </row>
    <row r="8" spans="1:27">
      <c r="A8">
        <v>41</v>
      </c>
      <c r="B8">
        <v>0</v>
      </c>
      <c r="C8">
        <v>20.446740999999999</v>
      </c>
      <c r="D8">
        <v>0</v>
      </c>
      <c r="E8">
        <v>1</v>
      </c>
      <c r="F8">
        <v>1</v>
      </c>
      <c r="G8">
        <v>0</v>
      </c>
      <c r="H8">
        <v>1</v>
      </c>
      <c r="I8">
        <v>0</v>
      </c>
      <c r="J8">
        <v>0</v>
      </c>
      <c r="K8">
        <v>0</v>
      </c>
      <c r="L8">
        <v>80.024711984259696</v>
      </c>
      <c r="M8">
        <v>42.63</v>
      </c>
      <c r="N8">
        <v>93.94</v>
      </c>
      <c r="O8">
        <v>0.45</v>
      </c>
      <c r="P8">
        <v>37.93</v>
      </c>
      <c r="Q8">
        <v>28.971796445742889</v>
      </c>
      <c r="R8">
        <v>0.2</v>
      </c>
      <c r="S8">
        <v>27.1</v>
      </c>
      <c r="T8">
        <v>5.12</v>
      </c>
      <c r="U8">
        <v>11.432768979386619</v>
      </c>
      <c r="V8">
        <v>20.491761170558711</v>
      </c>
      <c r="W8">
        <v>55.938832285993577</v>
      </c>
      <c r="X8">
        <v>24.85105456823878</v>
      </c>
      <c r="Y8">
        <v>21.469883394383391</v>
      </c>
      <c r="Z8">
        <v>1519.807361111112</v>
      </c>
      <c r="AA8">
        <v>760.21549700825972</v>
      </c>
    </row>
    <row r="9" spans="1:27" hidden="1">
      <c r="A9">
        <v>52</v>
      </c>
      <c r="B9">
        <v>1</v>
      </c>
      <c r="C9">
        <v>20.549886999999998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71.780609187109192</v>
      </c>
      <c r="M9">
        <v>33.72</v>
      </c>
      <c r="N9">
        <v>9.76</v>
      </c>
      <c r="O9">
        <v>3.46</v>
      </c>
      <c r="P9">
        <v>31.02</v>
      </c>
      <c r="Q9">
        <v>55.963865833346823</v>
      </c>
      <c r="R9">
        <v>0.2</v>
      </c>
      <c r="S9">
        <v>32.450000000000003</v>
      </c>
      <c r="T9">
        <v>4.6500000000000004</v>
      </c>
      <c r="U9">
        <v>7.7616192599883789</v>
      </c>
      <c r="V9">
        <v>17.740615791329422</v>
      </c>
      <c r="W9">
        <v>65.917221948549539</v>
      </c>
      <c r="X9">
        <v>14.120489250223461</v>
      </c>
      <c r="Y9">
        <v>9.4971250000000005</v>
      </c>
      <c r="Z9">
        <v>1123.1137867300829</v>
      </c>
      <c r="AA9">
        <v>609.6464524621174</v>
      </c>
    </row>
    <row r="10" spans="1:27">
      <c r="A10">
        <v>27</v>
      </c>
      <c r="B10">
        <v>1</v>
      </c>
      <c r="C10">
        <v>19.753086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90.190692171071333</v>
      </c>
      <c r="M10">
        <v>48.13</v>
      </c>
      <c r="N10">
        <v>34.65</v>
      </c>
      <c r="O10">
        <v>1.39</v>
      </c>
      <c r="P10">
        <v>26.03</v>
      </c>
      <c r="Q10">
        <v>59.239247047812661</v>
      </c>
      <c r="R10">
        <v>0.16</v>
      </c>
      <c r="S10">
        <v>26.21</v>
      </c>
      <c r="T10">
        <v>6.76</v>
      </c>
      <c r="U10">
        <v>10.525380952380949</v>
      </c>
      <c r="V10">
        <v>19.645650793650791</v>
      </c>
      <c r="W10">
        <v>51.892283225734843</v>
      </c>
      <c r="X10">
        <v>25.636516499582299</v>
      </c>
      <c r="Y10">
        <v>18.306226190476181</v>
      </c>
      <c r="Z10">
        <v>816.53226235597629</v>
      </c>
      <c r="AA10">
        <v>348.40758022533032</v>
      </c>
    </row>
    <row r="11" spans="1:27" hidden="1">
      <c r="A11">
        <v>44</v>
      </c>
      <c r="B11">
        <v>1</v>
      </c>
      <c r="C11">
        <v>31.377988999999999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64.43373222066603</v>
      </c>
      <c r="M11">
        <v>164.35</v>
      </c>
      <c r="N11">
        <v>443.7</v>
      </c>
      <c r="O11">
        <v>0.37</v>
      </c>
      <c r="P11">
        <v>83.54</v>
      </c>
      <c r="Q11">
        <v>26.922857373677051</v>
      </c>
      <c r="R11">
        <v>0.9</v>
      </c>
      <c r="S11">
        <v>32.86</v>
      </c>
      <c r="T11">
        <v>8.33</v>
      </c>
      <c r="U11">
        <v>10.16877380952381</v>
      </c>
      <c r="V11">
        <v>28.01583597883598</v>
      </c>
      <c r="W11">
        <v>67.703490079365068</v>
      </c>
      <c r="X11">
        <v>13.429456002820711</v>
      </c>
      <c r="Y11">
        <v>11.20803357753358</v>
      </c>
      <c r="Z11">
        <v>4133.9293174603181</v>
      </c>
      <c r="AA11">
        <v>2040.1468444761899</v>
      </c>
    </row>
    <row r="12" spans="1:27" hidden="1">
      <c r="A12">
        <v>52</v>
      </c>
      <c r="B12">
        <v>0</v>
      </c>
      <c r="C12">
        <v>24.863952999999999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65.416842787763144</v>
      </c>
      <c r="M12">
        <v>112.44</v>
      </c>
      <c r="N12">
        <v>102.32</v>
      </c>
      <c r="O12">
        <v>1.1000000000000001</v>
      </c>
      <c r="P12">
        <v>46.41</v>
      </c>
      <c r="Q12">
        <v>41.857486338405259</v>
      </c>
      <c r="R12">
        <v>0.16</v>
      </c>
      <c r="S12">
        <v>33.11</v>
      </c>
      <c r="T12">
        <v>6.41</v>
      </c>
      <c r="U12">
        <v>8.521124542124543</v>
      </c>
      <c r="V12">
        <v>29.1541066770063</v>
      </c>
      <c r="W12">
        <v>63.821274173325968</v>
      </c>
      <c r="X12">
        <v>15.456281167293319</v>
      </c>
      <c r="Y12">
        <v>14.341502023338981</v>
      </c>
      <c r="Z12">
        <v>2135.9974062049059</v>
      </c>
      <c r="AA12">
        <v>1268.4131439393941</v>
      </c>
    </row>
    <row r="13" spans="1:27">
      <c r="A13">
        <v>61</v>
      </c>
      <c r="B13">
        <v>1</v>
      </c>
      <c r="C13">
        <v>20.545694000000001</v>
      </c>
      <c r="D13">
        <v>0</v>
      </c>
      <c r="E13">
        <v>1</v>
      </c>
      <c r="F13">
        <v>1</v>
      </c>
      <c r="G13">
        <v>0</v>
      </c>
      <c r="H13">
        <v>1</v>
      </c>
      <c r="I13">
        <v>1</v>
      </c>
      <c r="J13">
        <v>0</v>
      </c>
      <c r="K13">
        <v>0</v>
      </c>
      <c r="L13">
        <v>63.773926970846603</v>
      </c>
      <c r="M13">
        <v>42.87</v>
      </c>
      <c r="N13">
        <v>103.82</v>
      </c>
      <c r="O13">
        <v>0.41</v>
      </c>
      <c r="P13">
        <v>71.319999999999993</v>
      </c>
      <c r="Q13">
        <v>26.758541398750889</v>
      </c>
      <c r="R13">
        <v>0.04</v>
      </c>
      <c r="S13">
        <v>24.29</v>
      </c>
      <c r="T13">
        <v>12.51</v>
      </c>
      <c r="U13">
        <v>11.74685236985237</v>
      </c>
      <c r="V13">
        <v>29.86218831168831</v>
      </c>
      <c r="W13">
        <v>60.071420669831959</v>
      </c>
      <c r="X13">
        <v>26.323874220808431</v>
      </c>
      <c r="Y13">
        <v>20.330130952380951</v>
      </c>
      <c r="Z13">
        <v>3812.675960317461</v>
      </c>
      <c r="AA13">
        <v>1827.3506189768009</v>
      </c>
    </row>
    <row r="14" spans="1:27" hidden="1">
      <c r="A14">
        <v>69</v>
      </c>
      <c r="B14">
        <v>0</v>
      </c>
      <c r="C14">
        <v>20.173252000000002</v>
      </c>
      <c r="D14">
        <v>0</v>
      </c>
      <c r="E14">
        <v>1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70.148825396825416</v>
      </c>
      <c r="M14">
        <v>13.09</v>
      </c>
      <c r="N14">
        <v>46.71</v>
      </c>
      <c r="O14">
        <v>0.28000000000000003</v>
      </c>
      <c r="P14">
        <v>28.21</v>
      </c>
      <c r="Q14">
        <v>28.860454525516001</v>
      </c>
      <c r="R14">
        <v>0.11</v>
      </c>
      <c r="S14">
        <v>30.8</v>
      </c>
      <c r="T14">
        <v>4.79</v>
      </c>
      <c r="U14">
        <v>7.1706034423093241</v>
      </c>
      <c r="V14">
        <v>19.534017196653348</v>
      </c>
      <c r="W14">
        <v>67.616486526923396</v>
      </c>
      <c r="X14">
        <v>13.416239493117819</v>
      </c>
      <c r="Y14">
        <v>10.070027813852811</v>
      </c>
      <c r="Z14">
        <v>1009.215968253968</v>
      </c>
      <c r="AA14">
        <v>572.18290557150794</v>
      </c>
    </row>
    <row r="15" spans="1:27" hidden="1">
      <c r="A15">
        <v>63</v>
      </c>
      <c r="B15">
        <v>0</v>
      </c>
      <c r="C15">
        <v>21.411211000000002</v>
      </c>
      <c r="D15">
        <v>0</v>
      </c>
      <c r="E15">
        <v>1</v>
      </c>
      <c r="F15">
        <v>0</v>
      </c>
      <c r="G15">
        <v>1</v>
      </c>
      <c r="H15">
        <v>1</v>
      </c>
      <c r="I15">
        <v>0</v>
      </c>
      <c r="J15">
        <v>0</v>
      </c>
      <c r="K15">
        <v>0</v>
      </c>
      <c r="L15">
        <v>74.228104437229433</v>
      </c>
      <c r="M15">
        <v>12.64</v>
      </c>
      <c r="N15">
        <v>50.46</v>
      </c>
      <c r="O15">
        <v>0.25</v>
      </c>
      <c r="P15">
        <v>23.55</v>
      </c>
      <c r="Q15">
        <v>29.268283205396969</v>
      </c>
      <c r="R15">
        <v>0.13</v>
      </c>
      <c r="S15">
        <v>33.18</v>
      </c>
      <c r="T15">
        <v>3.64</v>
      </c>
      <c r="U15">
        <v>10.26907722832723</v>
      </c>
      <c r="V15">
        <v>27.85633397858615</v>
      </c>
      <c r="W15">
        <v>75.14298015873014</v>
      </c>
      <c r="X15">
        <v>16.983316714494659</v>
      </c>
      <c r="Y15">
        <v>17.211717782217789</v>
      </c>
      <c r="Z15">
        <v>755.0492999310294</v>
      </c>
      <c r="AA15">
        <v>384.68134417152902</v>
      </c>
    </row>
    <row r="16" spans="1:27">
      <c r="A16">
        <v>45</v>
      </c>
      <c r="B16">
        <v>0</v>
      </c>
      <c r="C16">
        <v>23.875114</v>
      </c>
      <c r="D16">
        <v>0</v>
      </c>
      <c r="E16">
        <v>1</v>
      </c>
      <c r="F16">
        <v>1</v>
      </c>
      <c r="G16">
        <v>0</v>
      </c>
      <c r="H16">
        <v>1</v>
      </c>
      <c r="I16">
        <v>0</v>
      </c>
      <c r="J16">
        <v>0</v>
      </c>
      <c r="K16">
        <v>0</v>
      </c>
      <c r="L16">
        <v>69.251816908191472</v>
      </c>
      <c r="M16">
        <v>66.37</v>
      </c>
      <c r="N16">
        <v>83.67</v>
      </c>
      <c r="O16">
        <v>0.79</v>
      </c>
      <c r="P16">
        <v>38.75</v>
      </c>
      <c r="Q16">
        <v>35.394298454387418</v>
      </c>
      <c r="R16">
        <v>0.41</v>
      </c>
      <c r="S16">
        <v>34.39</v>
      </c>
      <c r="T16">
        <v>7.28</v>
      </c>
      <c r="U16">
        <v>11.325521259785971</v>
      </c>
      <c r="V16">
        <v>30.22907706699641</v>
      </c>
      <c r="W16">
        <v>71.669276131635968</v>
      </c>
      <c r="X16">
        <v>26.399587415171041</v>
      </c>
      <c r="Y16">
        <v>22.796454212454211</v>
      </c>
      <c r="Z16">
        <v>1555.0772738095241</v>
      </c>
      <c r="AA16">
        <v>1053.6519116161619</v>
      </c>
    </row>
    <row r="17" spans="1:27" hidden="1">
      <c r="A17">
        <v>56</v>
      </c>
      <c r="B17">
        <v>0</v>
      </c>
      <c r="C17">
        <v>21.907582999999999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90.678712301587325</v>
      </c>
      <c r="M17">
        <v>5.19</v>
      </c>
      <c r="N17">
        <v>3.08</v>
      </c>
      <c r="O17">
        <v>1.68</v>
      </c>
      <c r="P17">
        <v>10.18</v>
      </c>
      <c r="Q17">
        <v>59.793455033537327</v>
      </c>
      <c r="R17">
        <v>0.15</v>
      </c>
      <c r="S17">
        <v>32.869999999999997</v>
      </c>
      <c r="T17">
        <v>2.12</v>
      </c>
      <c r="U17">
        <v>8.5370717615717631</v>
      </c>
      <c r="V17">
        <v>21.72064756194511</v>
      </c>
      <c r="W17">
        <v>67.019503968253971</v>
      </c>
      <c r="X17">
        <v>15.24870062715063</v>
      </c>
      <c r="Y17">
        <v>12.596</v>
      </c>
      <c r="Z17">
        <v>273.6255873015873</v>
      </c>
      <c r="AA17">
        <v>57.018230158730162</v>
      </c>
    </row>
    <row r="18" spans="1:27" hidden="1">
      <c r="A18">
        <v>56</v>
      </c>
      <c r="B18">
        <v>0</v>
      </c>
      <c r="C18">
        <v>25.636917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64.134948412698435</v>
      </c>
      <c r="M18">
        <v>17.89</v>
      </c>
      <c r="N18">
        <v>61.83</v>
      </c>
      <c r="O18">
        <v>0.28999999999999998</v>
      </c>
      <c r="P18">
        <v>32.54</v>
      </c>
      <c r="Q18">
        <v>26.59103064982121</v>
      </c>
      <c r="R18">
        <v>0.19</v>
      </c>
      <c r="S18">
        <v>23.83</v>
      </c>
      <c r="T18">
        <v>2.65</v>
      </c>
      <c r="U18">
        <v>9.904174603174603</v>
      </c>
      <c r="V18">
        <v>20.85733620663374</v>
      </c>
      <c r="W18">
        <v>55.920388888888887</v>
      </c>
      <c r="X18">
        <v>17.560464987558021</v>
      </c>
      <c r="Y18">
        <v>13.659934920634919</v>
      </c>
      <c r="Z18">
        <v>1137.088197444368</v>
      </c>
      <c r="AA18">
        <v>610.7436868281095</v>
      </c>
    </row>
    <row r="19" spans="1:27">
      <c r="A19">
        <v>57</v>
      </c>
      <c r="B19">
        <v>0</v>
      </c>
      <c r="C19">
        <v>28.040379000000001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73.727523088023091</v>
      </c>
      <c r="M19">
        <v>18.55</v>
      </c>
      <c r="N19">
        <v>34.33</v>
      </c>
      <c r="O19">
        <v>0.54</v>
      </c>
      <c r="P19">
        <v>24.76</v>
      </c>
      <c r="Q19">
        <v>48.647045675737942</v>
      </c>
      <c r="R19">
        <v>0.28000000000000003</v>
      </c>
      <c r="S19">
        <v>29.79</v>
      </c>
      <c r="T19">
        <v>4.13</v>
      </c>
      <c r="U19">
        <v>10.93032423132423</v>
      </c>
      <c r="V19">
        <v>24.327252404599861</v>
      </c>
      <c r="W19">
        <v>54.903969622331687</v>
      </c>
      <c r="X19">
        <v>26.53875376312142</v>
      </c>
      <c r="Y19">
        <v>22.04050471750471</v>
      </c>
      <c r="Z19">
        <v>796.91243088654335</v>
      </c>
      <c r="AA19">
        <v>432.23892329892328</v>
      </c>
    </row>
    <row r="20" spans="1:27" hidden="1">
      <c r="A20">
        <v>68</v>
      </c>
      <c r="B20">
        <v>0</v>
      </c>
      <c r="C20">
        <v>22.600263999999999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63.353746388726243</v>
      </c>
      <c r="M20">
        <v>475.91</v>
      </c>
      <c r="N20">
        <v>627.91</v>
      </c>
      <c r="O20">
        <v>0.76</v>
      </c>
      <c r="P20">
        <v>91.84</v>
      </c>
      <c r="Q20">
        <v>39.846396656960948</v>
      </c>
      <c r="R20">
        <v>0.38</v>
      </c>
      <c r="S20">
        <v>32.25</v>
      </c>
      <c r="T20">
        <v>6.08</v>
      </c>
      <c r="U20">
        <v>10.83155827505828</v>
      </c>
      <c r="V20">
        <v>26.69766369449264</v>
      </c>
      <c r="W20">
        <v>69.474845238095241</v>
      </c>
      <c r="X20">
        <v>20.27877715214505</v>
      </c>
      <c r="Y20">
        <v>19.060982142857139</v>
      </c>
      <c r="Z20">
        <v>4572.7011984126993</v>
      </c>
      <c r="AA20">
        <v>2226.7129245952378</v>
      </c>
    </row>
    <row r="21" spans="1:27">
      <c r="A21">
        <v>40</v>
      </c>
      <c r="B21">
        <v>0</v>
      </c>
      <c r="C21">
        <v>19.140625</v>
      </c>
      <c r="D21">
        <v>0</v>
      </c>
      <c r="E21">
        <v>0</v>
      </c>
      <c r="F21">
        <v>1</v>
      </c>
      <c r="G21">
        <v>0</v>
      </c>
      <c r="H21">
        <v>1</v>
      </c>
      <c r="I21">
        <v>0</v>
      </c>
      <c r="J21">
        <v>0</v>
      </c>
      <c r="K21">
        <v>1</v>
      </c>
      <c r="L21">
        <v>86.722110280739471</v>
      </c>
      <c r="M21">
        <v>18.14</v>
      </c>
      <c r="N21">
        <v>22.31</v>
      </c>
      <c r="O21">
        <v>0.81</v>
      </c>
      <c r="P21">
        <v>22.2</v>
      </c>
      <c r="Q21">
        <v>54.712195200835879</v>
      </c>
      <c r="R21">
        <v>0.09</v>
      </c>
      <c r="S21">
        <v>27.22</v>
      </c>
      <c r="T21">
        <v>5.15</v>
      </c>
      <c r="U21">
        <v>10.678276251526251</v>
      </c>
      <c r="V21">
        <v>20.05632142857143</v>
      </c>
      <c r="W21">
        <v>51.180046932458232</v>
      </c>
      <c r="X21">
        <v>28.383475529100529</v>
      </c>
      <c r="Y21">
        <v>21.50734126984127</v>
      </c>
      <c r="Z21">
        <v>738.48474145902424</v>
      </c>
      <c r="AA21">
        <v>341.73573484848492</v>
      </c>
    </row>
    <row r="22" spans="1:27" hidden="1">
      <c r="A22">
        <v>39</v>
      </c>
      <c r="B22">
        <v>1</v>
      </c>
      <c r="C22">
        <v>23.30668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82.801361999026085</v>
      </c>
      <c r="M22">
        <v>47.06</v>
      </c>
      <c r="N22">
        <v>52.06</v>
      </c>
      <c r="O22">
        <v>0.9</v>
      </c>
      <c r="P22">
        <v>28.72</v>
      </c>
      <c r="Q22">
        <v>35.912423636316333</v>
      </c>
      <c r="R22">
        <v>0.88</v>
      </c>
      <c r="S22">
        <v>29.36</v>
      </c>
      <c r="T22">
        <v>4.5</v>
      </c>
      <c r="U22">
        <v>8.1328753787062631</v>
      </c>
      <c r="V22">
        <v>26.353993614041151</v>
      </c>
      <c r="W22">
        <v>56.80008477812509</v>
      </c>
      <c r="X22">
        <v>12.20635992112463</v>
      </c>
      <c r="Y22">
        <v>11.32337698412698</v>
      </c>
      <c r="Z22">
        <v>896.28559865134844</v>
      </c>
      <c r="AA22">
        <v>545.88992247127487</v>
      </c>
    </row>
    <row r="23" spans="1:27">
      <c r="A23">
        <v>24</v>
      </c>
      <c r="B23">
        <v>1</v>
      </c>
      <c r="C23">
        <v>15.173038</v>
      </c>
      <c r="D23">
        <v>0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70.735164887543476</v>
      </c>
      <c r="M23">
        <v>122.81</v>
      </c>
      <c r="N23">
        <v>300.87</v>
      </c>
      <c r="O23">
        <v>0.41</v>
      </c>
      <c r="P23">
        <v>60.66</v>
      </c>
      <c r="Q23">
        <v>27.323767806918191</v>
      </c>
      <c r="R23">
        <v>0.46</v>
      </c>
      <c r="S23">
        <v>28.62</v>
      </c>
      <c r="T23">
        <v>14.98</v>
      </c>
      <c r="U23">
        <v>13.02280428231899</v>
      </c>
      <c r="V23">
        <v>36.011182707355239</v>
      </c>
      <c r="W23">
        <v>60.397103032553041</v>
      </c>
      <c r="X23">
        <v>23.887019214703429</v>
      </c>
      <c r="Y23">
        <v>20.898591269841269</v>
      </c>
      <c r="Z23">
        <v>3105.6518253968261</v>
      </c>
      <c r="AA23">
        <v>1212.915629024531</v>
      </c>
    </row>
    <row r="24" spans="1:27">
      <c r="A24">
        <v>59</v>
      </c>
      <c r="B24">
        <v>0</v>
      </c>
      <c r="C24">
        <v>19.140625</v>
      </c>
      <c r="D24">
        <v>0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91.114424963924989</v>
      </c>
      <c r="M24">
        <v>7.14</v>
      </c>
      <c r="N24">
        <v>4.87</v>
      </c>
      <c r="O24">
        <v>1.47</v>
      </c>
      <c r="P24">
        <v>11.93</v>
      </c>
      <c r="Q24">
        <v>59.250591561789918</v>
      </c>
      <c r="R24">
        <v>0.52</v>
      </c>
      <c r="S24">
        <v>33.86</v>
      </c>
      <c r="T24">
        <v>2.2400000000000002</v>
      </c>
      <c r="U24">
        <v>12.35733516483517</v>
      </c>
      <c r="V24">
        <v>24.957739989984901</v>
      </c>
      <c r="W24">
        <v>80.905757936507939</v>
      </c>
      <c r="X24">
        <v>25.772857182005499</v>
      </c>
      <c r="Y24">
        <v>19.78735714285714</v>
      </c>
      <c r="Z24">
        <v>149.93575521700521</v>
      </c>
      <c r="AA24">
        <v>84.2479007936508</v>
      </c>
    </row>
    <row r="25" spans="1:27">
      <c r="A25">
        <v>30</v>
      </c>
      <c r="B25">
        <v>0</v>
      </c>
      <c r="C25">
        <v>26.729927</v>
      </c>
      <c r="D25">
        <v>0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79.550407259350976</v>
      </c>
      <c r="M25">
        <v>49.55</v>
      </c>
      <c r="N25">
        <v>92.93</v>
      </c>
      <c r="O25">
        <v>0.53</v>
      </c>
      <c r="P25">
        <v>38.44</v>
      </c>
      <c r="Q25">
        <v>32.488413614325538</v>
      </c>
      <c r="R25">
        <v>0.3</v>
      </c>
      <c r="S25">
        <v>33.5</v>
      </c>
      <c r="T25">
        <v>4.8099999999999996</v>
      </c>
      <c r="U25">
        <v>12.587289682539691</v>
      </c>
      <c r="V25">
        <v>31.578147550017452</v>
      </c>
      <c r="W25">
        <v>72.675793650793651</v>
      </c>
      <c r="X25">
        <v>31.122697235905861</v>
      </c>
      <c r="Y25">
        <v>30.275098124098118</v>
      </c>
      <c r="Z25">
        <v>1566.4219671717169</v>
      </c>
      <c r="AA25">
        <v>947.24655995919807</v>
      </c>
    </row>
    <row r="26" spans="1:27" hidden="1">
      <c r="A26">
        <v>49</v>
      </c>
      <c r="B26">
        <v>0</v>
      </c>
      <c r="C26">
        <v>20.568805999999999</v>
      </c>
      <c r="D26">
        <v>0</v>
      </c>
      <c r="E26">
        <v>1</v>
      </c>
      <c r="F26">
        <v>0</v>
      </c>
      <c r="G26">
        <v>1</v>
      </c>
      <c r="H26">
        <v>1</v>
      </c>
      <c r="I26">
        <v>0</v>
      </c>
      <c r="J26">
        <v>0</v>
      </c>
      <c r="K26">
        <v>0</v>
      </c>
      <c r="L26">
        <v>63.525739539858208</v>
      </c>
      <c r="M26">
        <v>110.83</v>
      </c>
      <c r="N26">
        <v>190.82</v>
      </c>
      <c r="O26">
        <v>0.57999999999999996</v>
      </c>
      <c r="P26">
        <v>53.44</v>
      </c>
      <c r="Q26">
        <v>31.508037620165869</v>
      </c>
      <c r="R26">
        <v>0.22</v>
      </c>
      <c r="S26">
        <v>25.57</v>
      </c>
      <c r="T26">
        <v>6.67</v>
      </c>
      <c r="U26">
        <v>10.931497306614951</v>
      </c>
      <c r="V26">
        <v>22.834282309366131</v>
      </c>
      <c r="W26">
        <v>58.074290143369197</v>
      </c>
      <c r="X26">
        <v>19.66602504139307</v>
      </c>
      <c r="Y26">
        <v>16.905342207792209</v>
      </c>
      <c r="Z26">
        <v>3058.3668461399702</v>
      </c>
      <c r="AA26">
        <v>1463.6757858932181</v>
      </c>
    </row>
    <row r="27" spans="1:27" hidden="1">
      <c r="A27">
        <v>46</v>
      </c>
      <c r="B27">
        <v>0</v>
      </c>
      <c r="C27">
        <v>19.53125</v>
      </c>
      <c r="D27">
        <v>0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65.918809781020556</v>
      </c>
      <c r="M27">
        <v>37.44</v>
      </c>
      <c r="N27">
        <v>265.8</v>
      </c>
      <c r="O27">
        <v>0.14000000000000001</v>
      </c>
      <c r="P27">
        <v>60</v>
      </c>
      <c r="Q27">
        <v>21.82955681679509</v>
      </c>
      <c r="R27">
        <v>0.28000000000000003</v>
      </c>
      <c r="S27">
        <v>24.15</v>
      </c>
      <c r="T27">
        <v>9.5299999999999994</v>
      </c>
      <c r="U27">
        <v>10.492543345543339</v>
      </c>
      <c r="V27">
        <v>28.22247780115034</v>
      </c>
      <c r="W27">
        <v>59.430962514456887</v>
      </c>
      <c r="X27">
        <v>18.415364574898781</v>
      </c>
      <c r="Y27">
        <v>14.338094261294261</v>
      </c>
      <c r="Z27">
        <v>3085.64857271242</v>
      </c>
      <c r="AA27">
        <v>1198.691244750361</v>
      </c>
    </row>
    <row r="28" spans="1:27" hidden="1">
      <c r="A28">
        <v>52</v>
      </c>
      <c r="B28">
        <v>1</v>
      </c>
      <c r="C28">
        <v>17.578125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62.943436015896793</v>
      </c>
      <c r="M28">
        <v>71.97</v>
      </c>
      <c r="N28">
        <v>185</v>
      </c>
      <c r="O28">
        <v>0.39</v>
      </c>
      <c r="P28">
        <v>48.63</v>
      </c>
      <c r="Q28">
        <v>27.274823746361228</v>
      </c>
      <c r="R28">
        <v>2.68</v>
      </c>
      <c r="S28">
        <v>28.34</v>
      </c>
      <c r="T28">
        <v>6.74</v>
      </c>
      <c r="U28">
        <v>3.6252900928209839</v>
      </c>
      <c r="V28">
        <v>14.772450115882981</v>
      </c>
      <c r="W28">
        <v>54.868877790351547</v>
      </c>
      <c r="X28">
        <v>6.179629996920152</v>
      </c>
      <c r="Y28">
        <v>4.0680019767946591</v>
      </c>
      <c r="Z28">
        <v>2092.4893319874568</v>
      </c>
      <c r="AA28">
        <v>1163.5539361471861</v>
      </c>
    </row>
    <row r="29" spans="1:27">
      <c r="A29">
        <v>53</v>
      </c>
      <c r="B29">
        <v>0</v>
      </c>
      <c r="C29">
        <v>23.140495000000001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70.774090053465059</v>
      </c>
      <c r="M29">
        <v>148.93</v>
      </c>
      <c r="N29">
        <v>20.88</v>
      </c>
      <c r="O29">
        <v>7.13</v>
      </c>
      <c r="P29">
        <v>40.03</v>
      </c>
      <c r="Q29">
        <v>71.442888805260623</v>
      </c>
      <c r="R29">
        <v>0.28999999999999998</v>
      </c>
      <c r="S29">
        <v>30.41</v>
      </c>
      <c r="T29">
        <v>4.49</v>
      </c>
      <c r="U29">
        <v>11.640767147884789</v>
      </c>
      <c r="V29">
        <v>30.37253213059283</v>
      </c>
      <c r="W29">
        <v>62.658145651223442</v>
      </c>
      <c r="X29">
        <v>24.451691292625501</v>
      </c>
      <c r="Y29">
        <v>21.375459235209242</v>
      </c>
      <c r="Z29">
        <v>1697.3835198412701</v>
      </c>
      <c r="AA29">
        <v>1093.156230713731</v>
      </c>
    </row>
    <row r="30" spans="1:27">
      <c r="A30">
        <v>21</v>
      </c>
      <c r="B30">
        <v>1</v>
      </c>
      <c r="C30">
        <v>20.452884999999998</v>
      </c>
      <c r="D30">
        <v>0</v>
      </c>
      <c r="E30">
        <v>1</v>
      </c>
      <c r="F30">
        <v>1</v>
      </c>
      <c r="G30">
        <v>0</v>
      </c>
      <c r="H30">
        <v>1</v>
      </c>
      <c r="I30">
        <v>0</v>
      </c>
      <c r="J30">
        <v>0</v>
      </c>
      <c r="K30">
        <v>0</v>
      </c>
      <c r="L30">
        <v>81.211690138973978</v>
      </c>
      <c r="M30">
        <v>134.22</v>
      </c>
      <c r="N30">
        <v>75.23</v>
      </c>
      <c r="O30">
        <v>1.78</v>
      </c>
      <c r="P30">
        <v>46.25</v>
      </c>
      <c r="Q30">
        <v>54.322163951647369</v>
      </c>
      <c r="R30">
        <v>0.15</v>
      </c>
      <c r="S30">
        <v>29.24</v>
      </c>
      <c r="T30">
        <v>7.82</v>
      </c>
      <c r="U30">
        <v>10.5236394993895</v>
      </c>
      <c r="V30">
        <v>34.211967621130398</v>
      </c>
      <c r="W30">
        <v>58.837040672869698</v>
      </c>
      <c r="X30">
        <v>25.297293650793652</v>
      </c>
      <c r="Y30">
        <v>17.763845238095239</v>
      </c>
      <c r="Z30">
        <v>2093.2942728937728</v>
      </c>
      <c r="AA30">
        <v>1213.8932454800099</v>
      </c>
    </row>
    <row r="31" spans="1:27" hidden="1">
      <c r="A31">
        <v>23</v>
      </c>
      <c r="B31">
        <v>0</v>
      </c>
      <c r="C31">
        <v>21.453572999999999</v>
      </c>
      <c r="D31">
        <v>0</v>
      </c>
      <c r="E31">
        <v>1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74.18292619807093</v>
      </c>
      <c r="M31">
        <v>143.58000000000001</v>
      </c>
      <c r="N31">
        <v>103.42</v>
      </c>
      <c r="O31">
        <v>1.39</v>
      </c>
      <c r="P31">
        <v>58.08</v>
      </c>
      <c r="Q31">
        <v>47.565714674246337</v>
      </c>
      <c r="R31">
        <v>0.21</v>
      </c>
      <c r="S31">
        <v>33.22</v>
      </c>
      <c r="T31">
        <v>8.2799999999999994</v>
      </c>
      <c r="U31">
        <v>11.78958638583639</v>
      </c>
      <c r="V31">
        <v>31.670369107846181</v>
      </c>
      <c r="W31">
        <v>69.795069340016695</v>
      </c>
      <c r="X31">
        <v>24.072417366360199</v>
      </c>
      <c r="Y31">
        <v>19.346345238095239</v>
      </c>
      <c r="Z31">
        <v>3330.1338812963781</v>
      </c>
      <c r="AA31">
        <v>1910.479828754578</v>
      </c>
    </row>
    <row r="32" spans="1:27" hidden="1">
      <c r="A32">
        <v>64</v>
      </c>
      <c r="B32">
        <v>0</v>
      </c>
      <c r="C32">
        <v>23.051753999999999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62.370580687830703</v>
      </c>
      <c r="M32">
        <v>18.52</v>
      </c>
      <c r="N32">
        <v>66.41</v>
      </c>
      <c r="O32">
        <v>0.28000000000000003</v>
      </c>
      <c r="P32">
        <v>32.69</v>
      </c>
      <c r="Q32">
        <v>29.477652159142401</v>
      </c>
      <c r="R32">
        <v>1.43</v>
      </c>
      <c r="S32">
        <v>28.58</v>
      </c>
      <c r="T32">
        <v>3.14</v>
      </c>
      <c r="U32">
        <v>7.0578557553557548</v>
      </c>
      <c r="V32">
        <v>21.141055501228038</v>
      </c>
      <c r="W32">
        <v>64.771600529100553</v>
      </c>
      <c r="X32">
        <v>12.668359068709069</v>
      </c>
      <c r="Y32">
        <v>9.9385361111111123</v>
      </c>
      <c r="Z32">
        <v>985.51018678835794</v>
      </c>
      <c r="AA32">
        <v>612.12481128698403</v>
      </c>
    </row>
    <row r="33" spans="1:27" hidden="1">
      <c r="A33">
        <v>52</v>
      </c>
      <c r="B33">
        <v>0</v>
      </c>
      <c r="C33">
        <v>22.832879999999999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69.556527657527667</v>
      </c>
      <c r="M33">
        <v>60.21</v>
      </c>
      <c r="N33">
        <v>36.42</v>
      </c>
      <c r="O33">
        <v>1.65</v>
      </c>
      <c r="P33">
        <v>38.549999999999997</v>
      </c>
      <c r="Q33">
        <v>61.404475131994239</v>
      </c>
      <c r="R33">
        <v>0.34</v>
      </c>
      <c r="S33">
        <v>26.67</v>
      </c>
      <c r="T33">
        <v>5.26</v>
      </c>
      <c r="U33">
        <v>8.0340958943017764</v>
      </c>
      <c r="V33">
        <v>19.91398376623377</v>
      </c>
      <c r="W33">
        <v>53.881582565284191</v>
      </c>
      <c r="X33">
        <v>14.63182499144302</v>
      </c>
      <c r="Y33">
        <v>12.93178304473305</v>
      </c>
      <c r="Z33">
        <v>1528.478861111111</v>
      </c>
      <c r="AA33">
        <v>1047.7384644554791</v>
      </c>
    </row>
    <row r="34" spans="1:27">
      <c r="A34">
        <v>37</v>
      </c>
      <c r="B34">
        <v>0</v>
      </c>
      <c r="C34">
        <v>22.582708</v>
      </c>
      <c r="D34">
        <v>0</v>
      </c>
      <c r="E34">
        <v>1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  <c r="L34">
        <v>78.031690829945475</v>
      </c>
      <c r="M34">
        <v>76.97</v>
      </c>
      <c r="N34">
        <v>99.34</v>
      </c>
      <c r="O34">
        <v>0.77</v>
      </c>
      <c r="P34">
        <v>47.09</v>
      </c>
      <c r="Q34">
        <v>34.165094829559322</v>
      </c>
      <c r="R34">
        <v>0.92</v>
      </c>
      <c r="S34">
        <v>21.44</v>
      </c>
      <c r="T34">
        <v>6.22</v>
      </c>
      <c r="U34">
        <v>14.754071924807221</v>
      </c>
      <c r="V34">
        <v>20.432047619047619</v>
      </c>
      <c r="W34">
        <v>49.540591862114432</v>
      </c>
      <c r="X34">
        <v>25.947698021885522</v>
      </c>
      <c r="Y34">
        <v>22.079890720390711</v>
      </c>
      <c r="Z34">
        <v>2064.8762526917531</v>
      </c>
      <c r="AA34">
        <v>1133.6702346574989</v>
      </c>
    </row>
    <row r="35" spans="1:27" hidden="1">
      <c r="A35">
        <v>35</v>
      </c>
      <c r="B35">
        <v>1</v>
      </c>
      <c r="C35">
        <v>17.632652</v>
      </c>
      <c r="D35">
        <v>0</v>
      </c>
      <c r="E35">
        <v>1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88.149127932845332</v>
      </c>
      <c r="M35">
        <v>47.51</v>
      </c>
      <c r="N35">
        <v>32.25</v>
      </c>
      <c r="O35">
        <v>1.47</v>
      </c>
      <c r="P35">
        <v>27.4</v>
      </c>
      <c r="Q35">
        <v>57.8305521147538</v>
      </c>
      <c r="R35">
        <v>0.62</v>
      </c>
      <c r="S35">
        <v>24.2</v>
      </c>
      <c r="T35">
        <v>2.39</v>
      </c>
      <c r="U35">
        <v>11.173169701213819</v>
      </c>
      <c r="V35">
        <v>27.721754464846121</v>
      </c>
      <c r="W35">
        <v>59.642624542124537</v>
      </c>
      <c r="X35">
        <v>16.017787809997021</v>
      </c>
      <c r="Y35">
        <v>16.24059394078143</v>
      </c>
      <c r="Z35">
        <v>681.71643331367352</v>
      </c>
      <c r="AA35">
        <v>416.09587964812982</v>
      </c>
    </row>
    <row r="36" spans="1:27" hidden="1">
      <c r="A36">
        <v>43</v>
      </c>
      <c r="B36">
        <v>1</v>
      </c>
      <c r="C36">
        <v>29.411764000000002</v>
      </c>
      <c r="D36">
        <v>0</v>
      </c>
      <c r="E36">
        <v>1</v>
      </c>
      <c r="F36">
        <v>0</v>
      </c>
      <c r="G36">
        <v>1</v>
      </c>
      <c r="H36">
        <v>0</v>
      </c>
      <c r="I36">
        <v>1</v>
      </c>
      <c r="J36">
        <v>0</v>
      </c>
      <c r="K36">
        <v>0</v>
      </c>
      <c r="L36">
        <v>70.547246774885807</v>
      </c>
      <c r="M36">
        <v>20.05</v>
      </c>
      <c r="N36">
        <v>71.64</v>
      </c>
      <c r="O36">
        <v>0.28000000000000003</v>
      </c>
      <c r="P36">
        <v>34.049999999999997</v>
      </c>
      <c r="Q36">
        <v>33.751383129832327</v>
      </c>
      <c r="R36">
        <v>0.46</v>
      </c>
      <c r="S36">
        <v>32.57</v>
      </c>
      <c r="T36">
        <v>10.25</v>
      </c>
      <c r="U36">
        <v>11.42636416361416</v>
      </c>
      <c r="V36">
        <v>31.32268775469581</v>
      </c>
      <c r="W36">
        <v>70.488713404889012</v>
      </c>
      <c r="X36">
        <v>16.849366254262801</v>
      </c>
      <c r="Y36">
        <v>18.669251443001439</v>
      </c>
      <c r="Z36">
        <v>1206.734539682539</v>
      </c>
      <c r="AA36">
        <v>681.57025066600067</v>
      </c>
    </row>
    <row r="37" spans="1:27" hidden="1">
      <c r="A37">
        <v>39</v>
      </c>
      <c r="B37">
        <v>0</v>
      </c>
      <c r="C37">
        <v>23.875114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64.935618583714856</v>
      </c>
      <c r="M37">
        <v>434.63</v>
      </c>
      <c r="N37">
        <v>622.46</v>
      </c>
      <c r="O37">
        <v>0.7</v>
      </c>
      <c r="P37">
        <v>92.39</v>
      </c>
      <c r="Q37">
        <v>39.503184734540113</v>
      </c>
      <c r="R37">
        <v>0.77</v>
      </c>
      <c r="S37">
        <v>32.33</v>
      </c>
      <c r="T37">
        <v>17.48</v>
      </c>
      <c r="U37">
        <v>4.0135611760661227</v>
      </c>
      <c r="V37">
        <v>14.865707036934211</v>
      </c>
      <c r="W37">
        <v>56.771681431346849</v>
      </c>
      <c r="X37">
        <v>6.2840296637934214</v>
      </c>
      <c r="Y37">
        <v>3.5855682162040861</v>
      </c>
      <c r="Z37">
        <v>4622.7289722222231</v>
      </c>
      <c r="AA37">
        <v>2214.9313732705632</v>
      </c>
    </row>
    <row r="38" spans="1:27" hidden="1">
      <c r="A38">
        <v>39</v>
      </c>
      <c r="B38">
        <v>1</v>
      </c>
      <c r="C38">
        <v>20.964361</v>
      </c>
      <c r="D38">
        <v>0</v>
      </c>
      <c r="E38">
        <v>1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87.07316351943075</v>
      </c>
      <c r="M38">
        <v>28.76</v>
      </c>
      <c r="N38">
        <v>42.35</v>
      </c>
      <c r="O38">
        <v>0.68</v>
      </c>
      <c r="P38">
        <v>39.520000000000003</v>
      </c>
      <c r="Q38">
        <v>49.633430515991471</v>
      </c>
      <c r="R38">
        <v>2.79</v>
      </c>
      <c r="S38">
        <v>29.82</v>
      </c>
      <c r="T38">
        <v>8.01</v>
      </c>
      <c r="U38">
        <v>8.1673836802086797</v>
      </c>
      <c r="V38">
        <v>19.829515913622661</v>
      </c>
      <c r="W38">
        <v>55.935881126461368</v>
      </c>
      <c r="X38">
        <v>13.499913869953581</v>
      </c>
      <c r="Y38">
        <v>10.137024531024529</v>
      </c>
      <c r="Z38">
        <v>1560.7150436507929</v>
      </c>
      <c r="AA38">
        <v>1086.2022085137089</v>
      </c>
    </row>
    <row r="39" spans="1:27" hidden="1">
      <c r="A39">
        <v>41</v>
      </c>
      <c r="B39">
        <v>1</v>
      </c>
      <c r="C39">
        <v>25.605536000000001</v>
      </c>
      <c r="D39">
        <v>0</v>
      </c>
      <c r="E39">
        <v>1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69.339178587291428</v>
      </c>
      <c r="M39">
        <v>212.83</v>
      </c>
      <c r="N39">
        <v>198.72</v>
      </c>
      <c r="O39">
        <v>1.07</v>
      </c>
      <c r="P39">
        <v>70.84</v>
      </c>
      <c r="Q39">
        <v>43.960579889008763</v>
      </c>
      <c r="R39">
        <v>0.21</v>
      </c>
      <c r="S39">
        <v>28.89</v>
      </c>
      <c r="T39">
        <v>7.31</v>
      </c>
      <c r="U39">
        <v>11.00784926021691</v>
      </c>
      <c r="V39">
        <v>25.023236297815249</v>
      </c>
      <c r="W39">
        <v>55.004640039172301</v>
      </c>
      <c r="X39">
        <v>22.006917880697529</v>
      </c>
      <c r="Y39">
        <v>18.010940476190481</v>
      </c>
      <c r="Z39">
        <v>4305.4667301587306</v>
      </c>
      <c r="AA39">
        <v>1931.8940437178931</v>
      </c>
    </row>
    <row r="40" spans="1:27">
      <c r="A40">
        <v>33</v>
      </c>
      <c r="B40">
        <v>1</v>
      </c>
      <c r="C40">
        <v>27.102041</v>
      </c>
      <c r="D40">
        <v>0</v>
      </c>
      <c r="E40">
        <v>0</v>
      </c>
      <c r="F40">
        <v>1</v>
      </c>
      <c r="G40">
        <v>0</v>
      </c>
      <c r="H40">
        <v>1</v>
      </c>
      <c r="I40">
        <v>0</v>
      </c>
      <c r="J40">
        <v>0</v>
      </c>
      <c r="K40">
        <v>0</v>
      </c>
      <c r="L40">
        <v>72.799829136585117</v>
      </c>
      <c r="M40">
        <v>125.11</v>
      </c>
      <c r="N40">
        <v>139.36000000000001</v>
      </c>
      <c r="O40">
        <v>0.9</v>
      </c>
      <c r="P40">
        <v>50.41</v>
      </c>
      <c r="Q40">
        <v>40.306161041997797</v>
      </c>
      <c r="R40">
        <v>0.23</v>
      </c>
      <c r="S40">
        <v>31.38</v>
      </c>
      <c r="T40">
        <v>7.06</v>
      </c>
      <c r="U40">
        <v>10.77348173884938</v>
      </c>
      <c r="V40">
        <v>28.290240601503761</v>
      </c>
      <c r="W40">
        <v>60.035539252066883</v>
      </c>
      <c r="X40">
        <v>24.4154100955617</v>
      </c>
      <c r="Y40">
        <v>18.43882142857143</v>
      </c>
      <c r="Z40">
        <v>2849.9234661172159</v>
      </c>
      <c r="AA40">
        <v>1732.8879914529921</v>
      </c>
    </row>
    <row r="41" spans="1:27">
      <c r="A41">
        <v>52</v>
      </c>
      <c r="B41">
        <v>0</v>
      </c>
      <c r="C41">
        <v>16.023073</v>
      </c>
      <c r="D41">
        <v>0</v>
      </c>
      <c r="E41">
        <v>1</v>
      </c>
      <c r="F41">
        <v>1</v>
      </c>
      <c r="G41">
        <v>0</v>
      </c>
      <c r="H41">
        <v>1</v>
      </c>
      <c r="I41">
        <v>0</v>
      </c>
      <c r="J41">
        <v>0</v>
      </c>
      <c r="K41">
        <v>0</v>
      </c>
      <c r="L41">
        <v>61.93822259575505</v>
      </c>
      <c r="M41">
        <v>95.54</v>
      </c>
      <c r="N41">
        <v>214.23</v>
      </c>
      <c r="O41">
        <v>0.45</v>
      </c>
      <c r="P41">
        <v>72.239999999999995</v>
      </c>
      <c r="Q41">
        <v>27.824777036347822</v>
      </c>
      <c r="R41">
        <v>0.65</v>
      </c>
      <c r="S41">
        <v>26.27</v>
      </c>
      <c r="T41">
        <v>13.87</v>
      </c>
      <c r="U41">
        <v>14.29531601731602</v>
      </c>
      <c r="V41">
        <v>18.74143614718615</v>
      </c>
      <c r="W41">
        <v>52.488905014618297</v>
      </c>
      <c r="X41">
        <v>24.153607320919821</v>
      </c>
      <c r="Y41">
        <v>22.16723196248196</v>
      </c>
      <c r="Z41">
        <v>3759.5021984126988</v>
      </c>
      <c r="AA41">
        <v>1895.4789331861471</v>
      </c>
    </row>
    <row r="42" spans="1:27" hidden="1">
      <c r="A42">
        <v>57</v>
      </c>
      <c r="B42">
        <v>0</v>
      </c>
      <c r="C42">
        <v>22.100290000000001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64.380741514491774</v>
      </c>
      <c r="M42">
        <v>83.64</v>
      </c>
      <c r="N42">
        <v>278.74</v>
      </c>
      <c r="O42">
        <v>0.3</v>
      </c>
      <c r="P42">
        <v>57.29</v>
      </c>
      <c r="Q42">
        <v>24.923703612288321</v>
      </c>
      <c r="R42">
        <v>0.36</v>
      </c>
      <c r="S42">
        <v>33.19</v>
      </c>
      <c r="T42">
        <v>5.15</v>
      </c>
      <c r="U42">
        <v>10.225976190476191</v>
      </c>
      <c r="V42">
        <v>28.649677064362759</v>
      </c>
      <c r="W42">
        <v>69.23813468720823</v>
      </c>
      <c r="X42">
        <v>16.62311766266069</v>
      </c>
      <c r="Y42">
        <v>16.321078282828289</v>
      </c>
      <c r="Z42">
        <v>3010.1109792401021</v>
      </c>
      <c r="AA42">
        <v>1293.8184090880229</v>
      </c>
    </row>
    <row r="43" spans="1:27" hidden="1">
      <c r="A43">
        <v>60</v>
      </c>
      <c r="B43">
        <v>0</v>
      </c>
      <c r="C43">
        <v>20.3125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64.021772607022598</v>
      </c>
      <c r="M43">
        <v>47.19</v>
      </c>
      <c r="N43">
        <v>55</v>
      </c>
      <c r="O43">
        <v>0.86</v>
      </c>
      <c r="P43">
        <v>36.81</v>
      </c>
      <c r="Q43">
        <v>33.968771726972541</v>
      </c>
      <c r="R43">
        <v>0.46</v>
      </c>
      <c r="S43">
        <v>27.92</v>
      </c>
      <c r="T43">
        <v>4.9800000000000004</v>
      </c>
      <c r="U43">
        <v>6.7946097236097236</v>
      </c>
      <c r="V43">
        <v>18.77683853027629</v>
      </c>
      <c r="W43">
        <v>58.674608631252731</v>
      </c>
      <c r="X43">
        <v>11.05581763850185</v>
      </c>
      <c r="Y43">
        <v>10.423740476190479</v>
      </c>
      <c r="Z43">
        <v>1393.3838639971141</v>
      </c>
      <c r="AA43">
        <v>979.19148773448785</v>
      </c>
    </row>
    <row r="44" spans="1:27" hidden="1">
      <c r="A44">
        <v>58</v>
      </c>
      <c r="B44">
        <v>0</v>
      </c>
      <c r="C44">
        <v>22.718975</v>
      </c>
      <c r="D44">
        <v>0</v>
      </c>
      <c r="E44">
        <v>1</v>
      </c>
      <c r="F44">
        <v>0</v>
      </c>
      <c r="G44">
        <v>1</v>
      </c>
      <c r="H44">
        <v>1</v>
      </c>
      <c r="I44">
        <v>0</v>
      </c>
      <c r="J44">
        <v>0</v>
      </c>
      <c r="K44">
        <v>0</v>
      </c>
      <c r="L44">
        <v>70.808952709871818</v>
      </c>
      <c r="M44">
        <v>54.39</v>
      </c>
      <c r="N44">
        <v>8.34</v>
      </c>
      <c r="O44">
        <v>6.52</v>
      </c>
      <c r="P44">
        <v>28.51</v>
      </c>
      <c r="Q44">
        <v>73.333504567039483</v>
      </c>
      <c r="R44">
        <v>0.76</v>
      </c>
      <c r="S44">
        <v>29.74</v>
      </c>
      <c r="T44">
        <v>4.4000000000000004</v>
      </c>
      <c r="U44">
        <v>8.5633811050061066</v>
      </c>
      <c r="V44">
        <v>21.36546221614643</v>
      </c>
      <c r="W44">
        <v>51.877186851398228</v>
      </c>
      <c r="X44">
        <v>12.91733255404726</v>
      </c>
      <c r="Y44">
        <v>10.753575793650789</v>
      </c>
      <c r="Z44">
        <v>898.11378515928516</v>
      </c>
      <c r="AA44">
        <v>572.17203728007712</v>
      </c>
    </row>
    <row r="45" spans="1:27">
      <c r="A45">
        <v>29</v>
      </c>
      <c r="B45">
        <v>0</v>
      </c>
      <c r="C45">
        <v>27.434843000000001</v>
      </c>
      <c r="D45">
        <v>0</v>
      </c>
      <c r="E45">
        <v>0</v>
      </c>
      <c r="F45">
        <v>1</v>
      </c>
      <c r="G45">
        <v>0</v>
      </c>
      <c r="H45">
        <v>1</v>
      </c>
      <c r="I45">
        <v>0</v>
      </c>
      <c r="J45">
        <v>0</v>
      </c>
      <c r="K45">
        <v>0</v>
      </c>
      <c r="L45">
        <v>79.119123153806967</v>
      </c>
      <c r="M45">
        <v>152.13</v>
      </c>
      <c r="N45">
        <v>64.63</v>
      </c>
      <c r="O45">
        <v>2.35</v>
      </c>
      <c r="P45">
        <v>49.49</v>
      </c>
      <c r="Q45">
        <v>63.57666993836412</v>
      </c>
      <c r="R45">
        <v>0.65</v>
      </c>
      <c r="S45">
        <v>34.08</v>
      </c>
      <c r="T45">
        <v>5.95</v>
      </c>
      <c r="U45">
        <v>14.139865546218489</v>
      </c>
      <c r="V45">
        <v>27.58335146578569</v>
      </c>
      <c r="W45">
        <v>69.363418546365921</v>
      </c>
      <c r="X45">
        <v>24.881310076333389</v>
      </c>
      <c r="Y45">
        <v>20.11869230769231</v>
      </c>
      <c r="Z45">
        <v>2464.791511169386</v>
      </c>
      <c r="AA45">
        <v>1741.749124236874</v>
      </c>
    </row>
    <row r="46" spans="1:27" hidden="1">
      <c r="A46">
        <v>51</v>
      </c>
      <c r="B46">
        <v>0</v>
      </c>
      <c r="C46">
        <v>21.778435000000002</v>
      </c>
      <c r="D46">
        <v>0</v>
      </c>
      <c r="E46">
        <v>1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69.016149311669665</v>
      </c>
      <c r="M46">
        <v>19.600000000000001</v>
      </c>
      <c r="N46">
        <v>31.95</v>
      </c>
      <c r="O46">
        <v>0.61</v>
      </c>
      <c r="P46">
        <v>32.14</v>
      </c>
      <c r="Q46">
        <v>51.653908255891359</v>
      </c>
      <c r="R46">
        <v>0.4</v>
      </c>
      <c r="S46">
        <v>29.29</v>
      </c>
      <c r="T46">
        <v>6.4</v>
      </c>
      <c r="U46">
        <v>9.0959517704517694</v>
      </c>
      <c r="V46">
        <v>30.716325813863591</v>
      </c>
      <c r="W46">
        <v>59.673547714118158</v>
      </c>
      <c r="X46">
        <v>13.67238459266053</v>
      </c>
      <c r="Y46">
        <v>13.78897352092352</v>
      </c>
      <c r="Z46">
        <v>999.50038196817786</v>
      </c>
      <c r="AA46">
        <v>604.88601725377373</v>
      </c>
    </row>
    <row r="47" spans="1:27">
      <c r="A47">
        <v>52</v>
      </c>
      <c r="B47">
        <v>1</v>
      </c>
      <c r="C47">
        <v>15.193553</v>
      </c>
      <c r="D47">
        <v>0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77.763378350088416</v>
      </c>
      <c r="M47">
        <v>33.299999999999997</v>
      </c>
      <c r="N47">
        <v>13.7</v>
      </c>
      <c r="O47">
        <v>2.4300000000000002</v>
      </c>
      <c r="P47">
        <v>24.46</v>
      </c>
      <c r="Q47">
        <v>53.360957941910137</v>
      </c>
      <c r="R47">
        <v>0.12</v>
      </c>
      <c r="S47">
        <v>32.36</v>
      </c>
      <c r="T47">
        <v>4.03</v>
      </c>
      <c r="U47">
        <v>11.904171855921859</v>
      </c>
      <c r="V47">
        <v>28.44393172880164</v>
      </c>
      <c r="W47">
        <v>76.266758658008627</v>
      </c>
      <c r="X47">
        <v>28.31283780758908</v>
      </c>
      <c r="Y47">
        <v>23.567777056277059</v>
      </c>
      <c r="Z47">
        <v>767.31159565221651</v>
      </c>
      <c r="AA47">
        <v>430.25847885447888</v>
      </c>
    </row>
    <row r="48" spans="1:27">
      <c r="A48">
        <v>64</v>
      </c>
      <c r="B48">
        <v>1</v>
      </c>
      <c r="C48">
        <v>18.924942000000001</v>
      </c>
      <c r="D48">
        <v>0</v>
      </c>
      <c r="E48">
        <v>1</v>
      </c>
      <c r="F48">
        <v>1</v>
      </c>
      <c r="G48">
        <v>0</v>
      </c>
      <c r="H48">
        <v>1</v>
      </c>
      <c r="I48">
        <v>0</v>
      </c>
      <c r="J48">
        <v>0</v>
      </c>
      <c r="K48">
        <v>0</v>
      </c>
      <c r="L48">
        <v>61.87185067564301</v>
      </c>
      <c r="M48">
        <v>374.19</v>
      </c>
      <c r="N48">
        <v>764.71</v>
      </c>
      <c r="O48">
        <v>0.49</v>
      </c>
      <c r="P48">
        <v>102.19</v>
      </c>
      <c r="Q48">
        <v>32.349164427682553</v>
      </c>
      <c r="R48">
        <v>1.1000000000000001</v>
      </c>
      <c r="S48">
        <v>32.29</v>
      </c>
      <c r="T48">
        <v>6.81</v>
      </c>
      <c r="U48">
        <v>10.696528332778341</v>
      </c>
      <c r="V48">
        <v>28.022531172531171</v>
      </c>
      <c r="W48">
        <v>66.74466673181891</v>
      </c>
      <c r="X48">
        <v>20.16591863463335</v>
      </c>
      <c r="Y48">
        <v>16.57111904761905</v>
      </c>
      <c r="Z48">
        <v>4482.530960317461</v>
      </c>
      <c r="AA48">
        <v>2216.8675434603169</v>
      </c>
    </row>
    <row r="49" spans="1:27" hidden="1">
      <c r="A49">
        <v>63</v>
      </c>
      <c r="B49">
        <v>0</v>
      </c>
      <c r="C49">
        <v>21.082813000000002</v>
      </c>
      <c r="D49">
        <v>0</v>
      </c>
      <c r="E49">
        <v>1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62.965065716815282</v>
      </c>
      <c r="M49">
        <v>59.87</v>
      </c>
      <c r="N49">
        <v>366.88</v>
      </c>
      <c r="O49">
        <v>0.16</v>
      </c>
      <c r="P49">
        <v>65.02</v>
      </c>
      <c r="Q49">
        <v>21.3661101615467</v>
      </c>
      <c r="R49">
        <v>0.27</v>
      </c>
      <c r="S49">
        <v>28.4</v>
      </c>
      <c r="T49">
        <v>15.16</v>
      </c>
      <c r="U49">
        <v>10.22325763125763</v>
      </c>
      <c r="V49">
        <v>31.305222997474491</v>
      </c>
      <c r="W49">
        <v>60.722677163338432</v>
      </c>
      <c r="X49">
        <v>15.58617577676881</v>
      </c>
      <c r="Y49">
        <v>14.37927283272283</v>
      </c>
      <c r="Z49">
        <v>3627.2386349206349</v>
      </c>
      <c r="AA49">
        <v>1359.2581672063491</v>
      </c>
    </row>
    <row r="50" spans="1:27">
      <c r="A50">
        <v>65</v>
      </c>
      <c r="B50">
        <v>1</v>
      </c>
      <c r="C50">
        <v>18.9069</v>
      </c>
      <c r="D50">
        <v>0</v>
      </c>
      <c r="E50">
        <v>1</v>
      </c>
      <c r="F50">
        <v>1</v>
      </c>
      <c r="G50">
        <v>0</v>
      </c>
      <c r="H50">
        <v>1</v>
      </c>
      <c r="I50">
        <v>0</v>
      </c>
      <c r="J50">
        <v>0</v>
      </c>
      <c r="K50">
        <v>0</v>
      </c>
      <c r="L50">
        <v>62.409287740037747</v>
      </c>
      <c r="M50">
        <v>731.3</v>
      </c>
      <c r="N50">
        <v>372.79</v>
      </c>
      <c r="O50">
        <v>1.96</v>
      </c>
      <c r="P50">
        <v>98.04</v>
      </c>
      <c r="Q50">
        <v>55.039111876928267</v>
      </c>
      <c r="R50">
        <v>0.38</v>
      </c>
      <c r="S50">
        <v>33.99</v>
      </c>
      <c r="T50">
        <v>4.26</v>
      </c>
      <c r="U50">
        <v>9.5608571428571434</v>
      </c>
      <c r="V50">
        <v>27.846261331261331</v>
      </c>
      <c r="W50">
        <v>71.637310606060595</v>
      </c>
      <c r="X50">
        <v>21.567004162504169</v>
      </c>
      <c r="Y50">
        <v>16.816805555555561</v>
      </c>
      <c r="Z50">
        <v>4713.9761269841283</v>
      </c>
      <c r="AA50">
        <v>2504.3043394047618</v>
      </c>
    </row>
    <row r="51" spans="1:27">
      <c r="A51">
        <v>46</v>
      </c>
      <c r="B51">
        <v>1</v>
      </c>
      <c r="C51">
        <v>22.093170000000001</v>
      </c>
      <c r="D51">
        <v>0</v>
      </c>
      <c r="E51">
        <v>0</v>
      </c>
      <c r="F51">
        <v>1</v>
      </c>
      <c r="G51">
        <v>0</v>
      </c>
      <c r="H51">
        <v>1</v>
      </c>
      <c r="I51">
        <v>0</v>
      </c>
      <c r="J51">
        <v>0</v>
      </c>
      <c r="K51">
        <v>0</v>
      </c>
      <c r="L51">
        <v>78.692735357779483</v>
      </c>
      <c r="M51">
        <v>52.77</v>
      </c>
      <c r="N51">
        <v>15.7</v>
      </c>
      <c r="O51">
        <v>3.36</v>
      </c>
      <c r="P51">
        <v>24.91</v>
      </c>
      <c r="Q51">
        <v>69.781433511553516</v>
      </c>
      <c r="R51">
        <v>3.57</v>
      </c>
      <c r="S51">
        <v>32.56</v>
      </c>
      <c r="T51">
        <v>4.2699999999999996</v>
      </c>
      <c r="U51">
        <v>14.498115800865801</v>
      </c>
      <c r="V51">
        <v>28.015354568261941</v>
      </c>
      <c r="W51">
        <v>66.652587301587275</v>
      </c>
      <c r="X51">
        <v>28.378075637325651</v>
      </c>
      <c r="Y51">
        <v>22.004109501609499</v>
      </c>
      <c r="Z51">
        <v>662.87939424163426</v>
      </c>
      <c r="AA51">
        <v>435.06226060051068</v>
      </c>
    </row>
    <row r="52" spans="1:27" hidden="1">
      <c r="A52">
        <v>22</v>
      </c>
      <c r="B52">
        <v>1</v>
      </c>
      <c r="C52">
        <v>22.093170000000001</v>
      </c>
      <c r="D52">
        <v>0</v>
      </c>
      <c r="E52">
        <v>1</v>
      </c>
      <c r="F52">
        <v>0</v>
      </c>
      <c r="G52">
        <v>1</v>
      </c>
      <c r="H52">
        <v>1</v>
      </c>
      <c r="I52">
        <v>0</v>
      </c>
      <c r="J52">
        <v>0</v>
      </c>
      <c r="K52">
        <v>0</v>
      </c>
      <c r="L52">
        <v>87.818077197136006</v>
      </c>
      <c r="M52">
        <v>20.239999999999998</v>
      </c>
      <c r="N52">
        <v>45.53</v>
      </c>
      <c r="O52">
        <v>0.44</v>
      </c>
      <c r="P52">
        <v>27.5</v>
      </c>
      <c r="Q52">
        <v>44.558349760983432</v>
      </c>
      <c r="R52">
        <v>0.79</v>
      </c>
      <c r="S52">
        <v>33.85</v>
      </c>
      <c r="T52">
        <v>6.36</v>
      </c>
      <c r="U52">
        <v>13.89932284708755</v>
      </c>
      <c r="V52">
        <v>29.952861670364609</v>
      </c>
      <c r="W52">
        <v>71.614399286259129</v>
      </c>
      <c r="X52">
        <v>24.100116225249849</v>
      </c>
      <c r="Y52">
        <v>20.598892857142861</v>
      </c>
      <c r="Z52">
        <v>684.01587933961184</v>
      </c>
      <c r="AA52">
        <v>391.16860533910551</v>
      </c>
    </row>
    <row r="53" spans="1:27">
      <c r="A53">
        <v>57</v>
      </c>
      <c r="B53">
        <v>1</v>
      </c>
      <c r="C53">
        <v>24.092970000000001</v>
      </c>
      <c r="D53">
        <v>0</v>
      </c>
      <c r="E53">
        <v>1</v>
      </c>
      <c r="F53">
        <v>1</v>
      </c>
      <c r="G53">
        <v>0</v>
      </c>
      <c r="H53">
        <v>1</v>
      </c>
      <c r="I53">
        <v>0</v>
      </c>
      <c r="J53">
        <v>0</v>
      </c>
      <c r="K53">
        <v>0</v>
      </c>
      <c r="L53">
        <v>69.0282218674419</v>
      </c>
      <c r="M53">
        <v>426.2</v>
      </c>
      <c r="N53">
        <v>1393.72</v>
      </c>
      <c r="O53">
        <v>0.31</v>
      </c>
      <c r="P53">
        <v>143.19999999999999</v>
      </c>
      <c r="Q53">
        <v>26.54347153136338</v>
      </c>
      <c r="R53">
        <v>0.59</v>
      </c>
      <c r="S53">
        <v>33.57</v>
      </c>
      <c r="T53">
        <v>8.34</v>
      </c>
      <c r="U53">
        <v>13.510953494218199</v>
      </c>
      <c r="V53">
        <v>29.671890812890808</v>
      </c>
      <c r="W53">
        <v>71.89749999999998</v>
      </c>
      <c r="X53">
        <v>26.995500580853822</v>
      </c>
      <c r="Y53">
        <v>23.09704223554224</v>
      </c>
      <c r="Z53">
        <v>5404.9985793650794</v>
      </c>
      <c r="AA53">
        <v>2012.4924970238101</v>
      </c>
    </row>
    <row r="54" spans="1:27" hidden="1">
      <c r="A54">
        <v>39</v>
      </c>
      <c r="B54">
        <v>0</v>
      </c>
      <c r="C54">
        <v>21.359306</v>
      </c>
      <c r="D54">
        <v>0</v>
      </c>
      <c r="E54">
        <v>1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67.011435153110355</v>
      </c>
      <c r="M54">
        <v>191.25</v>
      </c>
      <c r="N54">
        <v>780.5</v>
      </c>
      <c r="O54">
        <v>0.25</v>
      </c>
      <c r="P54">
        <v>88.97</v>
      </c>
      <c r="Q54">
        <v>27.69961115836832</v>
      </c>
      <c r="R54">
        <v>0.16</v>
      </c>
      <c r="S54">
        <v>25.68</v>
      </c>
      <c r="T54">
        <v>9.74</v>
      </c>
      <c r="U54">
        <v>10.49986996336996</v>
      </c>
      <c r="V54">
        <v>22.114458874458869</v>
      </c>
      <c r="W54">
        <v>56.948403022157073</v>
      </c>
      <c r="X54">
        <v>19.640759737252768</v>
      </c>
      <c r="Y54">
        <v>13.68535111555112</v>
      </c>
      <c r="Z54">
        <v>4895.47536904762</v>
      </c>
      <c r="AA54">
        <v>2365.783924761904</v>
      </c>
    </row>
    <row r="55" spans="1:27">
      <c r="A55">
        <v>53</v>
      </c>
      <c r="B55">
        <v>1</v>
      </c>
      <c r="C55">
        <v>20.177149</v>
      </c>
      <c r="D55">
        <v>0</v>
      </c>
      <c r="E55">
        <v>1</v>
      </c>
      <c r="F55">
        <v>1</v>
      </c>
      <c r="G55">
        <v>1</v>
      </c>
      <c r="H55">
        <v>1</v>
      </c>
      <c r="I55">
        <v>0</v>
      </c>
      <c r="J55">
        <v>0</v>
      </c>
      <c r="K55">
        <v>0</v>
      </c>
      <c r="L55">
        <v>72.350612808759877</v>
      </c>
      <c r="M55">
        <v>15.14</v>
      </c>
      <c r="N55">
        <v>23</v>
      </c>
      <c r="O55">
        <v>0.66</v>
      </c>
      <c r="P55">
        <v>29.1</v>
      </c>
      <c r="Q55">
        <v>51.26175481708465</v>
      </c>
      <c r="R55">
        <v>0.26</v>
      </c>
      <c r="S55">
        <v>34.299999999999997</v>
      </c>
      <c r="T55">
        <v>4.1500000000000004</v>
      </c>
      <c r="U55">
        <v>11.3791221001221</v>
      </c>
      <c r="V55">
        <v>27.975856287775638</v>
      </c>
      <c r="W55">
        <v>74.818862990810317</v>
      </c>
      <c r="X55">
        <v>27.51679018854146</v>
      </c>
      <c r="Y55">
        <v>23.071265151515149</v>
      </c>
      <c r="Z55">
        <v>1080.9464844877341</v>
      </c>
      <c r="AA55">
        <v>591.09713978867967</v>
      </c>
    </row>
    <row r="56" spans="1:27">
      <c r="A56">
        <v>57</v>
      </c>
      <c r="B56">
        <v>1</v>
      </c>
      <c r="C56">
        <v>22.83737</v>
      </c>
      <c r="D56">
        <v>0</v>
      </c>
      <c r="E56">
        <v>1</v>
      </c>
      <c r="F56">
        <v>1</v>
      </c>
      <c r="G56">
        <v>0</v>
      </c>
      <c r="H56">
        <v>1</v>
      </c>
      <c r="I56">
        <v>0</v>
      </c>
      <c r="J56">
        <v>0</v>
      </c>
      <c r="K56">
        <v>0</v>
      </c>
      <c r="L56">
        <v>62.505311762372543</v>
      </c>
      <c r="M56">
        <v>59.51</v>
      </c>
      <c r="N56">
        <v>125.28</v>
      </c>
      <c r="O56">
        <v>0.48</v>
      </c>
      <c r="P56">
        <v>68.63</v>
      </c>
      <c r="Q56">
        <v>28.57240985341307</v>
      </c>
      <c r="R56">
        <v>0.56999999999999995</v>
      </c>
      <c r="S56">
        <v>30.72</v>
      </c>
      <c r="T56">
        <v>10.66</v>
      </c>
      <c r="U56">
        <v>12.117470695970701</v>
      </c>
      <c r="V56">
        <v>20.635379129642281</v>
      </c>
      <c r="W56">
        <v>54.136022530616181</v>
      </c>
      <c r="X56">
        <v>23.623130798731999</v>
      </c>
      <c r="Y56">
        <v>21.685426190476189</v>
      </c>
      <c r="Z56">
        <v>3395.3770753968261</v>
      </c>
      <c r="AA56">
        <v>1800.983817802198</v>
      </c>
    </row>
    <row r="57" spans="1:27" hidden="1">
      <c r="A57">
        <v>45</v>
      </c>
      <c r="B57">
        <v>1</v>
      </c>
      <c r="C57">
        <v>25.402816999999999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68.051496686121624</v>
      </c>
      <c r="M57">
        <v>121.22</v>
      </c>
      <c r="N57">
        <v>93.2</v>
      </c>
      <c r="O57">
        <v>1.3</v>
      </c>
      <c r="P57">
        <v>42.56</v>
      </c>
      <c r="Q57">
        <v>50.154636311577491</v>
      </c>
      <c r="R57">
        <v>0.8</v>
      </c>
      <c r="S57">
        <v>33.11</v>
      </c>
      <c r="T57">
        <v>7.3</v>
      </c>
      <c r="U57">
        <v>3.3544399542451009</v>
      </c>
      <c r="V57">
        <v>14.310373159033199</v>
      </c>
      <c r="W57">
        <v>55.985707972119393</v>
      </c>
      <c r="X57">
        <v>5.8640778364410924</v>
      </c>
      <c r="Y57">
        <v>3.1512896049517911</v>
      </c>
      <c r="Z57">
        <v>1951.849887813275</v>
      </c>
      <c r="AA57">
        <v>1292.4218828571429</v>
      </c>
    </row>
    <row r="58" spans="1:27" hidden="1">
      <c r="A58">
        <v>45</v>
      </c>
      <c r="B58">
        <v>1</v>
      </c>
      <c r="C58">
        <v>22.720438000000001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66.078550043352536</v>
      </c>
      <c r="M58">
        <v>80.38</v>
      </c>
      <c r="N58">
        <v>143.91999999999999</v>
      </c>
      <c r="O58">
        <v>0.56000000000000005</v>
      </c>
      <c r="P58">
        <v>58.07</v>
      </c>
      <c r="Q58">
        <v>30.352763826943931</v>
      </c>
      <c r="R58">
        <v>0.1</v>
      </c>
      <c r="S58">
        <v>30.9</v>
      </c>
      <c r="T58">
        <v>6.33</v>
      </c>
      <c r="U58">
        <v>9.20772191697192</v>
      </c>
      <c r="V58">
        <v>30.032235914285369</v>
      </c>
      <c r="W58">
        <v>63.041472840515901</v>
      </c>
      <c r="X58">
        <v>14.14497086305507</v>
      </c>
      <c r="Y58">
        <v>11.49202619047619</v>
      </c>
      <c r="Z58">
        <v>3208.3748699327421</v>
      </c>
      <c r="AA58">
        <v>1733.0752093462099</v>
      </c>
    </row>
    <row r="59" spans="1:27" hidden="1">
      <c r="A59">
        <v>34</v>
      </c>
      <c r="B59">
        <v>0</v>
      </c>
      <c r="C59">
        <v>21.333334000000001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85.073493169277029</v>
      </c>
      <c r="M59">
        <v>51.67</v>
      </c>
      <c r="N59">
        <v>62.58</v>
      </c>
      <c r="O59">
        <v>0.83</v>
      </c>
      <c r="P59">
        <v>37.56</v>
      </c>
      <c r="Q59">
        <v>33.16446858024468</v>
      </c>
      <c r="R59">
        <v>0.28999999999999998</v>
      </c>
      <c r="S59">
        <v>24.48</v>
      </c>
      <c r="T59">
        <v>7.88</v>
      </c>
      <c r="U59">
        <v>8.6941199813258603</v>
      </c>
      <c r="V59">
        <v>20.429375889173421</v>
      </c>
      <c r="W59">
        <v>54.705690068891677</v>
      </c>
      <c r="X59">
        <v>19.686498516748131</v>
      </c>
      <c r="Y59">
        <v>15.38543888888888</v>
      </c>
      <c r="Z59">
        <v>1570.7127727272721</v>
      </c>
      <c r="AA59">
        <v>808.43395220057721</v>
      </c>
    </row>
    <row r="60" spans="1:27" hidden="1">
      <c r="A60">
        <v>61</v>
      </c>
      <c r="B60">
        <v>0</v>
      </c>
      <c r="C60">
        <v>26.775933999999999</v>
      </c>
      <c r="D60">
        <v>0</v>
      </c>
      <c r="E60">
        <v>0</v>
      </c>
      <c r="F60">
        <v>0</v>
      </c>
      <c r="G60">
        <v>0</v>
      </c>
      <c r="H60">
        <v>1</v>
      </c>
      <c r="I60">
        <v>1</v>
      </c>
      <c r="J60">
        <v>0</v>
      </c>
      <c r="K60">
        <v>0</v>
      </c>
      <c r="L60">
        <v>69.232632275132289</v>
      </c>
      <c r="M60">
        <v>24.2</v>
      </c>
      <c r="N60">
        <v>26.98</v>
      </c>
      <c r="O60">
        <v>0.9</v>
      </c>
      <c r="P60">
        <v>29.38</v>
      </c>
      <c r="Q60">
        <v>51.856708177684617</v>
      </c>
      <c r="R60">
        <v>0.48</v>
      </c>
      <c r="S60">
        <v>34.04</v>
      </c>
      <c r="T60">
        <v>3.16</v>
      </c>
      <c r="U60">
        <v>7.1001854387442664</v>
      </c>
      <c r="V60">
        <v>24.946281146070099</v>
      </c>
      <c r="W60">
        <v>67.140891534391542</v>
      </c>
      <c r="X60">
        <v>13.768619528862949</v>
      </c>
      <c r="Y60">
        <v>13.270702380952381</v>
      </c>
      <c r="Z60">
        <v>906.80980608280606</v>
      </c>
      <c r="AA60">
        <v>591.14621007950007</v>
      </c>
    </row>
    <row r="61" spans="1:27" hidden="1">
      <c r="A61">
        <v>67</v>
      </c>
      <c r="B61">
        <v>0</v>
      </c>
      <c r="C61">
        <v>25.476659999999999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64.31108448649168</v>
      </c>
      <c r="M61">
        <v>243.26</v>
      </c>
      <c r="N61">
        <v>431.55</v>
      </c>
      <c r="O61">
        <v>0.56000000000000005</v>
      </c>
      <c r="P61">
        <v>96.53</v>
      </c>
      <c r="Q61">
        <v>31.010318165522971</v>
      </c>
      <c r="R61">
        <v>0.21</v>
      </c>
      <c r="S61">
        <v>33.04</v>
      </c>
      <c r="T61">
        <v>8.48</v>
      </c>
      <c r="U61">
        <v>6.7847673992674</v>
      </c>
      <c r="V61">
        <v>20.528870490620491</v>
      </c>
      <c r="W61">
        <v>69.695884920634938</v>
      </c>
      <c r="X61">
        <v>10.218573953823951</v>
      </c>
      <c r="Y61">
        <v>5.5487650543900546</v>
      </c>
      <c r="Z61">
        <v>4792.6930912698417</v>
      </c>
      <c r="AA61">
        <v>2217.9097905800868</v>
      </c>
    </row>
    <row r="62" spans="1:27">
      <c r="A62">
        <v>56</v>
      </c>
      <c r="B62">
        <v>0</v>
      </c>
      <c r="C62">
        <v>21.644120999999998</v>
      </c>
      <c r="D62">
        <v>0</v>
      </c>
      <c r="E62">
        <v>0</v>
      </c>
      <c r="F62">
        <v>1</v>
      </c>
      <c r="G62">
        <v>0</v>
      </c>
      <c r="H62">
        <v>1</v>
      </c>
      <c r="I62">
        <v>0</v>
      </c>
      <c r="J62">
        <v>0</v>
      </c>
      <c r="K62">
        <v>0</v>
      </c>
      <c r="L62">
        <v>66.401965969215979</v>
      </c>
      <c r="M62">
        <v>14.83</v>
      </c>
      <c r="N62">
        <v>50.48</v>
      </c>
      <c r="O62">
        <v>0.28999999999999998</v>
      </c>
      <c r="P62">
        <v>58.85</v>
      </c>
      <c r="Q62">
        <v>30.270053831291651</v>
      </c>
      <c r="R62">
        <v>0.3</v>
      </c>
      <c r="S62">
        <v>31.96</v>
      </c>
      <c r="T62">
        <v>3.89</v>
      </c>
      <c r="U62">
        <v>11.53667496392497</v>
      </c>
      <c r="V62">
        <v>28.335504866190568</v>
      </c>
      <c r="W62">
        <v>66.743146825396821</v>
      </c>
      <c r="X62">
        <v>29.211460320452961</v>
      </c>
      <c r="Y62">
        <v>22.271729437229428</v>
      </c>
      <c r="Z62">
        <v>2673.9343915945169</v>
      </c>
      <c r="AA62">
        <v>1202.468774891775</v>
      </c>
    </row>
    <row r="63" spans="1:27" hidden="1">
      <c r="A63">
        <v>44</v>
      </c>
      <c r="B63">
        <v>1</v>
      </c>
      <c r="C63">
        <v>41.522489999999998</v>
      </c>
      <c r="D63">
        <v>0</v>
      </c>
      <c r="E63">
        <v>1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66.246625688309507</v>
      </c>
      <c r="M63">
        <v>391.6</v>
      </c>
      <c r="N63">
        <v>743.68</v>
      </c>
      <c r="O63">
        <v>0.53</v>
      </c>
      <c r="P63">
        <v>85.39</v>
      </c>
      <c r="Q63">
        <v>35.365187485846583</v>
      </c>
      <c r="R63">
        <v>0.12</v>
      </c>
      <c r="S63">
        <v>32.29</v>
      </c>
      <c r="T63">
        <v>8.9600000000000009</v>
      </c>
      <c r="U63">
        <v>10.89522619047619</v>
      </c>
      <c r="V63">
        <v>33.116955513784447</v>
      </c>
      <c r="W63">
        <v>69.423582792207782</v>
      </c>
      <c r="X63">
        <v>21.566753434824989</v>
      </c>
      <c r="Y63">
        <v>18.07975288600289</v>
      </c>
      <c r="Z63">
        <v>4869.3345793650806</v>
      </c>
      <c r="AA63">
        <v>2260.807125428571</v>
      </c>
    </row>
    <row r="64" spans="1:27" hidden="1">
      <c r="A64">
        <v>51</v>
      </c>
      <c r="B64">
        <v>1</v>
      </c>
      <c r="C64">
        <v>36.063164</v>
      </c>
      <c r="D64">
        <v>0</v>
      </c>
      <c r="E64">
        <v>1</v>
      </c>
      <c r="F64">
        <v>0</v>
      </c>
      <c r="G64">
        <v>1</v>
      </c>
      <c r="H64">
        <v>1</v>
      </c>
      <c r="I64">
        <v>0</v>
      </c>
      <c r="J64">
        <v>0</v>
      </c>
      <c r="K64">
        <v>0</v>
      </c>
      <c r="L64">
        <v>83.871009534583067</v>
      </c>
      <c r="M64">
        <v>2487.2600000000002</v>
      </c>
      <c r="N64">
        <v>6138.9</v>
      </c>
      <c r="O64">
        <v>0.41</v>
      </c>
      <c r="P64">
        <v>268.05</v>
      </c>
      <c r="Q64">
        <v>22.718419573895471</v>
      </c>
      <c r="R64">
        <v>0.38</v>
      </c>
      <c r="S64">
        <v>32.47</v>
      </c>
      <c r="T64">
        <v>46.21</v>
      </c>
      <c r="U64">
        <v>12.19331349206349</v>
      </c>
      <c r="V64">
        <v>33.270923046251987</v>
      </c>
      <c r="W64">
        <v>70.555337301587272</v>
      </c>
      <c r="X64">
        <v>24.28391709469453</v>
      </c>
      <c r="Y64">
        <v>27.576173520923511</v>
      </c>
      <c r="Z64">
        <v>20367.948436507941</v>
      </c>
      <c r="AA64">
        <v>6084.9087889610391</v>
      </c>
    </row>
    <row r="65" spans="1:27" hidden="1">
      <c r="A65">
        <v>44</v>
      </c>
      <c r="B65">
        <v>0</v>
      </c>
      <c r="C65">
        <v>22.230988</v>
      </c>
      <c r="D65">
        <v>0</v>
      </c>
      <c r="E65">
        <v>1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69.595978257020249</v>
      </c>
      <c r="M65">
        <v>51.2</v>
      </c>
      <c r="N65">
        <v>121.42</v>
      </c>
      <c r="O65">
        <v>0.42</v>
      </c>
      <c r="P65">
        <v>41.11</v>
      </c>
      <c r="Q65">
        <v>28.037035588211619</v>
      </c>
      <c r="R65">
        <v>0.22</v>
      </c>
      <c r="S65">
        <v>30.08</v>
      </c>
      <c r="T65">
        <v>5.83</v>
      </c>
      <c r="U65">
        <v>9.5317747432306206</v>
      </c>
      <c r="V65">
        <v>30.75290773646844</v>
      </c>
      <c r="W65">
        <v>63.486452820956202</v>
      </c>
      <c r="X65">
        <v>17.129211288479318</v>
      </c>
      <c r="Y65">
        <v>15.06653556998557</v>
      </c>
      <c r="Z65">
        <v>1884.3867389195771</v>
      </c>
      <c r="AA65">
        <v>1056.9914861249861</v>
      </c>
    </row>
    <row r="66" spans="1:27" hidden="1">
      <c r="A66">
        <v>49</v>
      </c>
      <c r="B66">
        <v>1</v>
      </c>
      <c r="C66">
        <v>22.229061000000002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66.041279444154711</v>
      </c>
      <c r="M66">
        <v>89.4</v>
      </c>
      <c r="N66">
        <v>117.76</v>
      </c>
      <c r="O66">
        <v>0.76</v>
      </c>
      <c r="P66">
        <v>43</v>
      </c>
      <c r="Q66">
        <v>34.304061210489749</v>
      </c>
      <c r="R66">
        <v>0.26</v>
      </c>
      <c r="S66">
        <v>30.47</v>
      </c>
      <c r="T66">
        <v>7.84</v>
      </c>
      <c r="U66">
        <v>4.6197481989974261</v>
      </c>
      <c r="V66">
        <v>15.242733389798611</v>
      </c>
      <c r="W66">
        <v>57.043965870806367</v>
      </c>
      <c r="X66">
        <v>9.6652792207792224</v>
      </c>
      <c r="Y66">
        <v>3.1801250555000551</v>
      </c>
      <c r="Z66">
        <v>2004.2430315861691</v>
      </c>
      <c r="AA66">
        <v>1173.2577696470189</v>
      </c>
    </row>
    <row r="67" spans="1:27" hidden="1">
      <c r="A67">
        <v>37</v>
      </c>
      <c r="B67">
        <v>1</v>
      </c>
      <c r="C67">
        <v>26.729927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69.266155404334029</v>
      </c>
      <c r="M67">
        <v>268.33999999999997</v>
      </c>
      <c r="N67">
        <v>249.96</v>
      </c>
      <c r="O67">
        <v>1.07</v>
      </c>
      <c r="P67">
        <v>60.08</v>
      </c>
      <c r="Q67">
        <v>47.368872512475328</v>
      </c>
      <c r="R67">
        <v>0.7</v>
      </c>
      <c r="S67">
        <v>26.42</v>
      </c>
      <c r="T67">
        <v>10.4</v>
      </c>
      <c r="U67">
        <v>7.022551916649209</v>
      </c>
      <c r="V67">
        <v>15.91429447388667</v>
      </c>
      <c r="W67">
        <v>49.268038697133022</v>
      </c>
      <c r="X67">
        <v>10.491482146938029</v>
      </c>
      <c r="Y67">
        <v>8.0075663067142528</v>
      </c>
      <c r="Z67">
        <v>3508.0953261183249</v>
      </c>
      <c r="AA67">
        <v>1914.81185020202</v>
      </c>
    </row>
    <row r="68" spans="1:27" hidden="1">
      <c r="A68">
        <v>42</v>
      </c>
      <c r="B68">
        <v>0</v>
      </c>
      <c r="C68">
        <v>21.989892999999999</v>
      </c>
      <c r="D68">
        <v>0</v>
      </c>
      <c r="E68">
        <v>1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69.743401052514713</v>
      </c>
      <c r="M68">
        <v>67.39</v>
      </c>
      <c r="N68">
        <v>134.33000000000001</v>
      </c>
      <c r="O68">
        <v>0.5</v>
      </c>
      <c r="P68">
        <v>42.67</v>
      </c>
      <c r="Q68">
        <v>26.97352421626865</v>
      </c>
      <c r="R68">
        <v>0.12</v>
      </c>
      <c r="S68">
        <v>29.33</v>
      </c>
      <c r="T68">
        <v>5.37</v>
      </c>
      <c r="U68">
        <v>9.8687499999999986</v>
      </c>
      <c r="V68">
        <v>32.153695520322017</v>
      </c>
      <c r="W68">
        <v>59.682123376255923</v>
      </c>
      <c r="X68">
        <v>15.18117504139307</v>
      </c>
      <c r="Y68">
        <v>13.757898734598729</v>
      </c>
      <c r="Z68">
        <v>1905.139727014815</v>
      </c>
      <c r="AA68">
        <v>998.04925341651824</v>
      </c>
    </row>
    <row r="69" spans="1:27" hidden="1">
      <c r="A69">
        <v>59</v>
      </c>
      <c r="B69">
        <v>0</v>
      </c>
      <c r="C69">
        <v>28.228386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89.94693253968255</v>
      </c>
      <c r="M69">
        <v>4.3600000000000003</v>
      </c>
      <c r="N69">
        <v>12.04</v>
      </c>
      <c r="O69">
        <v>0.36</v>
      </c>
      <c r="P69">
        <v>12.54</v>
      </c>
      <c r="Q69">
        <v>52.264472730148398</v>
      </c>
      <c r="R69">
        <v>0.37</v>
      </c>
      <c r="S69">
        <v>34.44</v>
      </c>
      <c r="T69">
        <v>1.84</v>
      </c>
      <c r="U69">
        <v>7.3184897741147754</v>
      </c>
      <c r="V69">
        <v>13.592236492265901</v>
      </c>
      <c r="W69">
        <v>65.517864474864496</v>
      </c>
      <c r="X69">
        <v>14.585940836940839</v>
      </c>
      <c r="Y69">
        <v>8.6952813714063737</v>
      </c>
      <c r="Z69">
        <v>156.45268977591039</v>
      </c>
      <c r="AA69">
        <v>83.744182539682527</v>
      </c>
    </row>
    <row r="70" spans="1:27">
      <c r="A70">
        <v>40</v>
      </c>
      <c r="B70">
        <v>0</v>
      </c>
      <c r="C70">
        <v>17.578125</v>
      </c>
      <c r="D70">
        <v>0</v>
      </c>
      <c r="E70">
        <v>1</v>
      </c>
      <c r="F70">
        <v>1</v>
      </c>
      <c r="G70">
        <v>0</v>
      </c>
      <c r="H70">
        <v>1</v>
      </c>
      <c r="I70">
        <v>0</v>
      </c>
      <c r="J70">
        <v>0</v>
      </c>
      <c r="K70">
        <v>0</v>
      </c>
      <c r="L70">
        <v>69.693226206339062</v>
      </c>
      <c r="M70">
        <v>321.27999999999997</v>
      </c>
      <c r="N70">
        <v>260.5</v>
      </c>
      <c r="O70">
        <v>1.23</v>
      </c>
      <c r="P70">
        <v>68.28</v>
      </c>
      <c r="Q70">
        <v>46.565066059169403</v>
      </c>
      <c r="R70">
        <v>0.25</v>
      </c>
      <c r="S70">
        <v>33.01</v>
      </c>
      <c r="T70">
        <v>8.59</v>
      </c>
      <c r="U70">
        <v>11.726734629749339</v>
      </c>
      <c r="V70">
        <v>32.38185122528543</v>
      </c>
      <c r="W70">
        <v>68.323190176309737</v>
      </c>
      <c r="X70">
        <v>23.89459425507027</v>
      </c>
      <c r="Y70">
        <v>20.639435425685431</v>
      </c>
      <c r="Z70">
        <v>4335.4990753968259</v>
      </c>
      <c r="AA70">
        <v>1837.497305756965</v>
      </c>
    </row>
    <row r="71" spans="1:27">
      <c r="A71">
        <v>55</v>
      </c>
      <c r="B71">
        <v>1</v>
      </c>
      <c r="C71">
        <v>23.028202</v>
      </c>
      <c r="D71">
        <v>0</v>
      </c>
      <c r="E71">
        <v>1</v>
      </c>
      <c r="F71">
        <v>1</v>
      </c>
      <c r="G71">
        <v>0</v>
      </c>
      <c r="H71">
        <v>0</v>
      </c>
      <c r="I71">
        <v>1</v>
      </c>
      <c r="J71">
        <v>0</v>
      </c>
      <c r="K71">
        <v>0</v>
      </c>
      <c r="L71">
        <v>86.215537698412717</v>
      </c>
      <c r="M71">
        <v>2.9</v>
      </c>
      <c r="N71">
        <v>4.75</v>
      </c>
      <c r="O71">
        <v>0.61</v>
      </c>
      <c r="P71">
        <v>11.82</v>
      </c>
      <c r="Q71">
        <v>60.033669301549658</v>
      </c>
      <c r="R71">
        <v>0.19</v>
      </c>
      <c r="S71">
        <v>31.85</v>
      </c>
      <c r="T71">
        <v>3.62</v>
      </c>
      <c r="U71">
        <v>11.9445467032967</v>
      </c>
      <c r="V71">
        <v>27.065578016153331</v>
      </c>
      <c r="W71">
        <v>67.93613095238095</v>
      </c>
      <c r="X71">
        <v>26.594092344718611</v>
      </c>
      <c r="Y71">
        <v>24.085463564213569</v>
      </c>
      <c r="Z71">
        <v>312.32648934398929</v>
      </c>
      <c r="AA71">
        <v>77.625760073260096</v>
      </c>
    </row>
    <row r="72" spans="1:27">
      <c r="A72">
        <v>27</v>
      </c>
      <c r="B72">
        <v>1</v>
      </c>
      <c r="C72">
        <v>22.758306999999999</v>
      </c>
      <c r="D72">
        <v>0</v>
      </c>
      <c r="E72">
        <v>1</v>
      </c>
      <c r="F72">
        <v>1</v>
      </c>
      <c r="G72">
        <v>0</v>
      </c>
      <c r="H72">
        <v>1</v>
      </c>
      <c r="I72">
        <v>0</v>
      </c>
      <c r="J72">
        <v>0</v>
      </c>
      <c r="K72">
        <v>0</v>
      </c>
      <c r="L72">
        <v>93.740119596586993</v>
      </c>
      <c r="M72">
        <v>22.3</v>
      </c>
      <c r="N72">
        <v>24.67</v>
      </c>
      <c r="O72">
        <v>0.9</v>
      </c>
      <c r="P72">
        <v>23.63</v>
      </c>
      <c r="Q72">
        <v>59.249294840571459</v>
      </c>
      <c r="R72">
        <v>1.87</v>
      </c>
      <c r="S72">
        <v>34.54</v>
      </c>
      <c r="T72">
        <v>5.32</v>
      </c>
      <c r="U72">
        <v>10.259180402930401</v>
      </c>
      <c r="V72">
        <v>26.130526102910629</v>
      </c>
      <c r="W72">
        <v>71.993987702486834</v>
      </c>
      <c r="X72">
        <v>23.687862332112331</v>
      </c>
      <c r="Y72">
        <v>16.8174590964591</v>
      </c>
      <c r="Z72">
        <v>634.22553475013183</v>
      </c>
      <c r="AA72">
        <v>420.52273895548899</v>
      </c>
    </row>
    <row r="73" spans="1:27">
      <c r="A73">
        <v>47</v>
      </c>
      <c r="B73">
        <v>0</v>
      </c>
      <c r="C73">
        <v>27.141582</v>
      </c>
      <c r="D73">
        <v>0</v>
      </c>
      <c r="E73">
        <v>0</v>
      </c>
      <c r="F73">
        <v>1</v>
      </c>
      <c r="G73">
        <v>0</v>
      </c>
      <c r="H73">
        <v>1</v>
      </c>
      <c r="I73">
        <v>0</v>
      </c>
      <c r="J73">
        <v>0</v>
      </c>
      <c r="K73">
        <v>0</v>
      </c>
      <c r="L73">
        <v>67.329500150312654</v>
      </c>
      <c r="M73">
        <v>22.44</v>
      </c>
      <c r="N73">
        <v>78.98</v>
      </c>
      <c r="O73">
        <v>0.28000000000000003</v>
      </c>
      <c r="P73">
        <v>59.29</v>
      </c>
      <c r="Q73">
        <v>32.058862407765012</v>
      </c>
      <c r="R73">
        <v>0.32</v>
      </c>
      <c r="S73">
        <v>33.6</v>
      </c>
      <c r="T73">
        <v>5.25</v>
      </c>
      <c r="U73">
        <v>10.89044841269841</v>
      </c>
      <c r="V73">
        <v>28.75504271722841</v>
      </c>
      <c r="W73">
        <v>69.464787360558248</v>
      </c>
      <c r="X73">
        <v>29.4846137596064</v>
      </c>
      <c r="Y73">
        <v>22.776366910866901</v>
      </c>
      <c r="Z73">
        <v>2940.102165404041</v>
      </c>
      <c r="AA73">
        <v>1359.701595238095</v>
      </c>
    </row>
    <row r="74" spans="1:27" hidden="1">
      <c r="A74">
        <v>67</v>
      </c>
      <c r="B74">
        <v>0</v>
      </c>
      <c r="C74">
        <v>16.184275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78.883427231762255</v>
      </c>
      <c r="M74">
        <v>16.350000000000001</v>
      </c>
      <c r="N74">
        <v>14.41</v>
      </c>
      <c r="O74">
        <v>1.1299999999999999</v>
      </c>
      <c r="P74">
        <v>21.74</v>
      </c>
      <c r="Q74">
        <v>50.890950211588127</v>
      </c>
      <c r="R74">
        <v>0.24</v>
      </c>
      <c r="S74">
        <v>32.44</v>
      </c>
      <c r="T74">
        <v>3.64</v>
      </c>
      <c r="U74">
        <v>7.2209004329004349</v>
      </c>
      <c r="V74">
        <v>15.47611325439266</v>
      </c>
      <c r="W74">
        <v>74.375884920634931</v>
      </c>
      <c r="X74">
        <v>15.601606444140661</v>
      </c>
      <c r="Y74">
        <v>9.1667471001221017</v>
      </c>
      <c r="Z74">
        <v>729.35452212280472</v>
      </c>
      <c r="AA74">
        <v>357.05036760461758</v>
      </c>
    </row>
    <row r="75" spans="1:27" hidden="1">
      <c r="A75">
        <v>31</v>
      </c>
      <c r="B75">
        <v>1</v>
      </c>
      <c r="C75">
        <v>31.741789000000001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66.222968191709199</v>
      </c>
      <c r="M75">
        <v>230.79</v>
      </c>
      <c r="N75">
        <v>502.36</v>
      </c>
      <c r="O75">
        <v>0.46</v>
      </c>
      <c r="P75">
        <v>84.33</v>
      </c>
      <c r="Q75">
        <v>30.013251733863122</v>
      </c>
      <c r="R75">
        <v>0.89</v>
      </c>
      <c r="S75">
        <v>33.299999999999997</v>
      </c>
      <c r="T75">
        <v>8.9499999999999993</v>
      </c>
      <c r="U75">
        <v>3.5765672368567092</v>
      </c>
      <c r="V75">
        <v>15.89794718392173</v>
      </c>
      <c r="W75">
        <v>56.255849164859967</v>
      </c>
      <c r="X75">
        <v>3.6733760552918051</v>
      </c>
      <c r="Y75">
        <v>2.748959969230278</v>
      </c>
      <c r="Z75">
        <v>4413.448234126985</v>
      </c>
      <c r="AA75">
        <v>2202.7361188896102</v>
      </c>
    </row>
    <row r="76" spans="1:27" hidden="1">
      <c r="A76">
        <v>55</v>
      </c>
      <c r="B76">
        <v>1</v>
      </c>
      <c r="C76">
        <v>20.619253</v>
      </c>
      <c r="D76">
        <v>0</v>
      </c>
      <c r="E76">
        <v>1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66.016010442025205</v>
      </c>
      <c r="M76">
        <v>560.02</v>
      </c>
      <c r="N76">
        <v>968.41</v>
      </c>
      <c r="O76">
        <v>0.57999999999999996</v>
      </c>
      <c r="P76">
        <v>108.68</v>
      </c>
      <c r="Q76">
        <v>34.152664373207408</v>
      </c>
      <c r="R76">
        <v>0.44</v>
      </c>
      <c r="S76">
        <v>32.520000000000003</v>
      </c>
      <c r="T76">
        <v>18.39</v>
      </c>
      <c r="U76">
        <v>8.7137585470085472</v>
      </c>
      <c r="V76">
        <v>29.220930381509319</v>
      </c>
      <c r="W76">
        <v>68.07628250915748</v>
      </c>
      <c r="X76">
        <v>14.155611876290211</v>
      </c>
      <c r="Y76">
        <v>11.142336438923399</v>
      </c>
      <c r="Z76">
        <v>4557.4363650793666</v>
      </c>
      <c r="AA76">
        <v>2021.7025855866909</v>
      </c>
    </row>
    <row r="77" spans="1:27">
      <c r="A77">
        <v>56</v>
      </c>
      <c r="B77">
        <v>1</v>
      </c>
      <c r="C77">
        <v>18.710948999999999</v>
      </c>
      <c r="D77">
        <v>0</v>
      </c>
      <c r="E77">
        <v>1</v>
      </c>
      <c r="F77">
        <v>1</v>
      </c>
      <c r="G77">
        <v>0</v>
      </c>
      <c r="H77">
        <v>1</v>
      </c>
      <c r="I77">
        <v>0</v>
      </c>
      <c r="J77">
        <v>0</v>
      </c>
      <c r="K77">
        <v>0</v>
      </c>
      <c r="L77">
        <v>89.907821428571467</v>
      </c>
      <c r="M77">
        <v>1.47</v>
      </c>
      <c r="N77">
        <v>0.72</v>
      </c>
      <c r="O77">
        <v>2.0499999999999998</v>
      </c>
      <c r="P77">
        <v>7.98</v>
      </c>
      <c r="Q77">
        <v>58.038682878812367</v>
      </c>
      <c r="R77">
        <v>0.22</v>
      </c>
      <c r="S77">
        <v>31.99</v>
      </c>
      <c r="T77">
        <v>1.34</v>
      </c>
      <c r="U77">
        <v>12.170148046398049</v>
      </c>
      <c r="V77">
        <v>27.395450275614301</v>
      </c>
      <c r="W77">
        <v>68.447388888888881</v>
      </c>
      <c r="X77">
        <v>27.722611521620149</v>
      </c>
      <c r="Y77">
        <v>24.188948412698419</v>
      </c>
      <c r="Z77">
        <v>254.0475595238095</v>
      </c>
      <c r="AA77">
        <v>44.75374603174604</v>
      </c>
    </row>
    <row r="78" spans="1:27">
      <c r="A78">
        <v>42</v>
      </c>
      <c r="B78">
        <v>1</v>
      </c>
      <c r="C78">
        <v>25.951557000000001</v>
      </c>
      <c r="D78">
        <v>0</v>
      </c>
      <c r="E78">
        <v>1</v>
      </c>
      <c r="F78">
        <v>1</v>
      </c>
      <c r="G78">
        <v>0</v>
      </c>
      <c r="H78">
        <v>1</v>
      </c>
      <c r="I78">
        <v>0</v>
      </c>
      <c r="J78">
        <v>0</v>
      </c>
      <c r="K78">
        <v>0</v>
      </c>
      <c r="L78">
        <v>80.415263829694567</v>
      </c>
      <c r="M78">
        <v>55.48</v>
      </c>
      <c r="N78">
        <v>2.76</v>
      </c>
      <c r="O78">
        <v>20.14</v>
      </c>
      <c r="P78">
        <v>22.24</v>
      </c>
      <c r="Q78">
        <v>77.038486885313546</v>
      </c>
      <c r="R78">
        <v>0.16</v>
      </c>
      <c r="S78">
        <v>30.38</v>
      </c>
      <c r="T78">
        <v>6.23</v>
      </c>
      <c r="U78">
        <v>12.0408431552108</v>
      </c>
      <c r="V78">
        <v>30.049951377025909</v>
      </c>
      <c r="W78">
        <v>61.999651824745513</v>
      </c>
      <c r="X78">
        <v>23.985532372598161</v>
      </c>
      <c r="Y78">
        <v>20.10150372544123</v>
      </c>
      <c r="Z78">
        <v>722.35045300834418</v>
      </c>
      <c r="AA78">
        <v>277.22377417027423</v>
      </c>
    </row>
    <row r="79" spans="1:27" hidden="1">
      <c r="A79">
        <v>47</v>
      </c>
      <c r="B79">
        <v>0</v>
      </c>
      <c r="C79">
        <v>24.557753000000002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67.15121030959989</v>
      </c>
      <c r="M79">
        <v>32.090000000000003</v>
      </c>
      <c r="N79">
        <v>141.96</v>
      </c>
      <c r="O79">
        <v>0.23</v>
      </c>
      <c r="P79">
        <v>39.770000000000003</v>
      </c>
      <c r="Q79">
        <v>28.97805102760476</v>
      </c>
      <c r="R79">
        <v>0.18</v>
      </c>
      <c r="S79">
        <v>34.56</v>
      </c>
      <c r="T79">
        <v>7.23</v>
      </c>
      <c r="U79">
        <v>9.238708513708513</v>
      </c>
      <c r="V79">
        <v>26.556492392553089</v>
      </c>
      <c r="W79">
        <v>68.424862744111905</v>
      </c>
      <c r="X79">
        <v>16.881657267801</v>
      </c>
      <c r="Y79">
        <v>15.70394336219336</v>
      </c>
      <c r="Z79">
        <v>1688.338134920635</v>
      </c>
      <c r="AA79">
        <v>984.33059126984108</v>
      </c>
    </row>
    <row r="80" spans="1:27">
      <c r="A80">
        <v>54</v>
      </c>
      <c r="B80">
        <v>0</v>
      </c>
      <c r="C80">
        <v>20.3125</v>
      </c>
      <c r="D80">
        <v>0</v>
      </c>
      <c r="E80">
        <v>1</v>
      </c>
      <c r="F80">
        <v>1</v>
      </c>
      <c r="G80">
        <v>0</v>
      </c>
      <c r="H80">
        <v>1</v>
      </c>
      <c r="I80">
        <v>0</v>
      </c>
      <c r="J80">
        <v>0</v>
      </c>
      <c r="K80">
        <v>0</v>
      </c>
      <c r="L80">
        <v>63.08389801564168</v>
      </c>
      <c r="M80">
        <v>167.89</v>
      </c>
      <c r="N80">
        <v>193.48</v>
      </c>
      <c r="O80">
        <v>0.87</v>
      </c>
      <c r="P80">
        <v>61.34</v>
      </c>
      <c r="Q80">
        <v>39.783383598998583</v>
      </c>
      <c r="R80">
        <v>0.78</v>
      </c>
      <c r="S80">
        <v>30.27</v>
      </c>
      <c r="T80">
        <v>5.13</v>
      </c>
      <c r="U80">
        <v>13.893729153199731</v>
      </c>
      <c r="V80">
        <v>28.291327089922589</v>
      </c>
      <c r="W80">
        <v>59.775693198362752</v>
      </c>
      <c r="X80">
        <v>20.431462479194579</v>
      </c>
      <c r="Y80">
        <v>21.015602597402591</v>
      </c>
      <c r="Z80">
        <v>3339.7034292929288</v>
      </c>
      <c r="AA80">
        <v>1798.359747099568</v>
      </c>
    </row>
    <row r="81" spans="1:27">
      <c r="A81">
        <v>33</v>
      </c>
      <c r="B81">
        <v>0</v>
      </c>
      <c r="C81">
        <v>20.371029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1</v>
      </c>
      <c r="L81">
        <v>92.430847654476807</v>
      </c>
      <c r="M81">
        <v>7.35</v>
      </c>
      <c r="N81">
        <v>18.89</v>
      </c>
      <c r="O81">
        <v>0.39</v>
      </c>
      <c r="P81">
        <v>20.32</v>
      </c>
      <c r="Q81">
        <v>53.712655773602243</v>
      </c>
      <c r="R81">
        <v>0.17</v>
      </c>
      <c r="S81">
        <v>31.14</v>
      </c>
      <c r="T81">
        <v>2.5299999999999998</v>
      </c>
      <c r="U81">
        <v>11.16674134199134</v>
      </c>
      <c r="V81">
        <v>20.58456698243689</v>
      </c>
      <c r="W81">
        <v>61.368113816738799</v>
      </c>
      <c r="X81">
        <v>31.62380687830689</v>
      </c>
      <c r="Y81">
        <v>24.083541514041521</v>
      </c>
      <c r="Z81">
        <v>534.16578643578669</v>
      </c>
      <c r="AA81">
        <v>225.59167046842049</v>
      </c>
    </row>
    <row r="82" spans="1:27" hidden="1">
      <c r="A82">
        <v>45</v>
      </c>
      <c r="B82">
        <v>0</v>
      </c>
      <c r="C82">
        <v>17.575161000000001</v>
      </c>
      <c r="D82">
        <v>0</v>
      </c>
      <c r="E82">
        <v>1</v>
      </c>
      <c r="F82">
        <v>0</v>
      </c>
      <c r="G82">
        <v>1</v>
      </c>
      <c r="H82">
        <v>1</v>
      </c>
      <c r="I82">
        <v>0</v>
      </c>
      <c r="J82">
        <v>0</v>
      </c>
      <c r="K82">
        <v>0</v>
      </c>
      <c r="L82">
        <v>87.972265512265537</v>
      </c>
      <c r="M82">
        <v>9</v>
      </c>
      <c r="N82">
        <v>4.09</v>
      </c>
      <c r="O82">
        <v>2.2000000000000002</v>
      </c>
      <c r="P82">
        <v>14.85</v>
      </c>
      <c r="Q82">
        <v>60.567195404545053</v>
      </c>
      <c r="R82">
        <v>0.33</v>
      </c>
      <c r="S82">
        <v>27.22</v>
      </c>
      <c r="T82">
        <v>2.56</v>
      </c>
      <c r="U82">
        <v>11.844263125763129</v>
      </c>
      <c r="V82">
        <v>26.94268898865565</v>
      </c>
      <c r="W82">
        <v>62.791563492063482</v>
      </c>
      <c r="X82">
        <v>26.42134907177649</v>
      </c>
      <c r="Y82">
        <v>22.94362287157287</v>
      </c>
      <c r="Z82">
        <v>241.74142857142849</v>
      </c>
      <c r="AA82">
        <v>176.90759340659341</v>
      </c>
    </row>
    <row r="83" spans="1:27">
      <c r="A83">
        <v>48</v>
      </c>
      <c r="B83">
        <v>1</v>
      </c>
      <c r="C83">
        <v>23.040019999999998</v>
      </c>
      <c r="D83">
        <v>0</v>
      </c>
      <c r="E83">
        <v>1</v>
      </c>
      <c r="F83">
        <v>1</v>
      </c>
      <c r="G83">
        <v>1</v>
      </c>
      <c r="H83">
        <v>1</v>
      </c>
      <c r="I83">
        <v>0</v>
      </c>
      <c r="J83">
        <v>0</v>
      </c>
      <c r="K83">
        <v>0</v>
      </c>
      <c r="L83">
        <v>65.273617427012738</v>
      </c>
      <c r="M83">
        <v>21.04</v>
      </c>
      <c r="N83">
        <v>89.65</v>
      </c>
      <c r="O83">
        <v>0.23</v>
      </c>
      <c r="P83">
        <v>39.85</v>
      </c>
      <c r="Q83">
        <v>31.212880618356539</v>
      </c>
      <c r="R83">
        <v>0.74</v>
      </c>
      <c r="S83">
        <v>25.47</v>
      </c>
      <c r="T83">
        <v>6.51</v>
      </c>
      <c r="U83">
        <v>14.024763179630829</v>
      </c>
      <c r="V83">
        <v>20.604601358148901</v>
      </c>
      <c r="W83">
        <v>54.921956384117678</v>
      </c>
      <c r="X83">
        <v>24.38025109462977</v>
      </c>
      <c r="Y83">
        <v>22.697458180708171</v>
      </c>
      <c r="Z83">
        <v>1550.892222222222</v>
      </c>
      <c r="AA83">
        <v>1025.845549953315</v>
      </c>
    </row>
    <row r="84" spans="1:27" hidden="1">
      <c r="A84">
        <v>54</v>
      </c>
      <c r="B84">
        <v>1</v>
      </c>
      <c r="C84">
        <v>19.932064</v>
      </c>
      <c r="D84">
        <v>0</v>
      </c>
      <c r="E84">
        <v>1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69.043886604136617</v>
      </c>
      <c r="M84">
        <v>29.62</v>
      </c>
      <c r="N84">
        <v>21.99</v>
      </c>
      <c r="O84">
        <v>1.35</v>
      </c>
      <c r="P84">
        <v>39.21</v>
      </c>
      <c r="Q84">
        <v>54.065325896307513</v>
      </c>
      <c r="R84">
        <v>1.0900000000000001</v>
      </c>
      <c r="S84">
        <v>30.38</v>
      </c>
      <c r="T84">
        <v>2.0299999999999998</v>
      </c>
      <c r="U84">
        <v>5.7228997686524004</v>
      </c>
      <c r="V84">
        <v>14.64444819069819</v>
      </c>
      <c r="W84">
        <v>56.039931271161663</v>
      </c>
      <c r="X84">
        <v>8.319689792255156</v>
      </c>
      <c r="Y84">
        <v>7.8950237632737634</v>
      </c>
      <c r="Z84">
        <v>1537.984722222222</v>
      </c>
      <c r="AA84">
        <v>1113.045492063492</v>
      </c>
    </row>
    <row r="85" spans="1:27" hidden="1">
      <c r="A85">
        <v>57</v>
      </c>
      <c r="B85">
        <v>0</v>
      </c>
      <c r="C85">
        <v>25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87.852936507936519</v>
      </c>
      <c r="M85">
        <v>1.38</v>
      </c>
      <c r="N85">
        <v>4.83</v>
      </c>
      <c r="O85">
        <v>0.28999999999999998</v>
      </c>
      <c r="P85">
        <v>11.73</v>
      </c>
      <c r="Q85">
        <v>59.382799001301542</v>
      </c>
      <c r="R85">
        <v>0.24</v>
      </c>
      <c r="S85">
        <v>32.799999999999997</v>
      </c>
      <c r="T85">
        <v>1.65</v>
      </c>
      <c r="U85">
        <v>7.5023806471306456</v>
      </c>
      <c r="V85">
        <v>14.331142475171889</v>
      </c>
      <c r="W85">
        <v>67.431091269841289</v>
      </c>
      <c r="X85">
        <v>15.594967293817289</v>
      </c>
      <c r="Y85">
        <v>9.1202297841047866</v>
      </c>
      <c r="Z85">
        <v>306.13794047619041</v>
      </c>
      <c r="AA85">
        <v>77.435047619047623</v>
      </c>
    </row>
    <row r="86" spans="1:27" hidden="1">
      <c r="A86">
        <v>35</v>
      </c>
      <c r="B86">
        <v>0</v>
      </c>
      <c r="C86">
        <v>22.313278</v>
      </c>
      <c r="D86">
        <v>0</v>
      </c>
      <c r="E86">
        <v>1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84.504632273758659</v>
      </c>
      <c r="M86">
        <v>39.96</v>
      </c>
      <c r="N86">
        <v>77.81</v>
      </c>
      <c r="O86">
        <v>0.51</v>
      </c>
      <c r="P86">
        <v>31.97</v>
      </c>
      <c r="Q86">
        <v>31.15744073920175</v>
      </c>
      <c r="R86">
        <v>0.22</v>
      </c>
      <c r="S86">
        <v>31.42</v>
      </c>
      <c r="T86">
        <v>3.77</v>
      </c>
      <c r="U86">
        <v>10.58802564102564</v>
      </c>
      <c r="V86">
        <v>30.677566232199968</v>
      </c>
      <c r="W86">
        <v>70.694164263153439</v>
      </c>
      <c r="X86">
        <v>17.326714384076531</v>
      </c>
      <c r="Y86">
        <v>17.18704653679654</v>
      </c>
      <c r="Z86">
        <v>1135.6030347459559</v>
      </c>
      <c r="AA86">
        <v>621.59464503656784</v>
      </c>
    </row>
    <row r="87" spans="1:27">
      <c r="A87">
        <v>48</v>
      </c>
      <c r="B87">
        <v>1</v>
      </c>
      <c r="C87">
        <v>23.661438</v>
      </c>
      <c r="D87">
        <v>0</v>
      </c>
      <c r="E87">
        <v>0</v>
      </c>
      <c r="F87">
        <v>1</v>
      </c>
      <c r="G87">
        <v>0</v>
      </c>
      <c r="H87">
        <v>1</v>
      </c>
      <c r="I87">
        <v>0</v>
      </c>
      <c r="J87">
        <v>0</v>
      </c>
      <c r="K87">
        <v>0</v>
      </c>
      <c r="L87">
        <v>84.644481622952213</v>
      </c>
      <c r="M87">
        <v>16.46</v>
      </c>
      <c r="N87">
        <v>5.88</v>
      </c>
      <c r="O87">
        <v>2.8</v>
      </c>
      <c r="P87">
        <v>16.87</v>
      </c>
      <c r="Q87">
        <v>60.525344859665992</v>
      </c>
      <c r="R87">
        <v>0.21</v>
      </c>
      <c r="S87">
        <v>33.4</v>
      </c>
      <c r="T87">
        <v>3.95</v>
      </c>
      <c r="U87">
        <v>11.035234126984131</v>
      </c>
      <c r="V87">
        <v>25.72375441999932</v>
      </c>
      <c r="W87">
        <v>65.111768876018871</v>
      </c>
      <c r="X87">
        <v>28.053097274973549</v>
      </c>
      <c r="Y87">
        <v>22.40760789210789</v>
      </c>
      <c r="Z87">
        <v>476.68644841269872</v>
      </c>
      <c r="AA87">
        <v>221.5448686452435</v>
      </c>
    </row>
    <row r="88" spans="1:27" hidden="1">
      <c r="A88">
        <v>40</v>
      </c>
      <c r="B88">
        <v>0</v>
      </c>
      <c r="C88">
        <v>21.875</v>
      </c>
      <c r="D88">
        <v>0</v>
      </c>
      <c r="E88">
        <v>1</v>
      </c>
      <c r="F88">
        <v>0</v>
      </c>
      <c r="G88">
        <v>1</v>
      </c>
      <c r="H88">
        <v>1</v>
      </c>
      <c r="I88">
        <v>0</v>
      </c>
      <c r="J88">
        <v>0</v>
      </c>
      <c r="K88">
        <v>0</v>
      </c>
      <c r="L88">
        <v>71.164547017538212</v>
      </c>
      <c r="M88">
        <v>63.9</v>
      </c>
      <c r="N88">
        <v>239.38</v>
      </c>
      <c r="O88">
        <v>0.27</v>
      </c>
      <c r="P88">
        <v>58.7</v>
      </c>
      <c r="Q88">
        <v>23.750664045282171</v>
      </c>
      <c r="R88">
        <v>0.16</v>
      </c>
      <c r="S88">
        <v>30.24</v>
      </c>
      <c r="T88">
        <v>9.2899999999999991</v>
      </c>
      <c r="U88">
        <v>11.282582776700419</v>
      </c>
      <c r="V88">
        <v>31.520958061143759</v>
      </c>
      <c r="W88">
        <v>58.956924353871948</v>
      </c>
      <c r="X88">
        <v>18.13268908845712</v>
      </c>
      <c r="Y88">
        <v>16.95123618048618</v>
      </c>
      <c r="Z88">
        <v>2972.855962322808</v>
      </c>
      <c r="AA88">
        <v>1279.8487563125759</v>
      </c>
    </row>
    <row r="89" spans="1:27" hidden="1">
      <c r="A89">
        <v>42</v>
      </c>
      <c r="B89">
        <v>0</v>
      </c>
      <c r="C89">
        <v>22.038567</v>
      </c>
      <c r="D89">
        <v>0</v>
      </c>
      <c r="E89">
        <v>1</v>
      </c>
      <c r="F89">
        <v>0</v>
      </c>
      <c r="G89">
        <v>1</v>
      </c>
      <c r="H89">
        <v>1</v>
      </c>
      <c r="I89">
        <v>0</v>
      </c>
      <c r="J89">
        <v>0</v>
      </c>
      <c r="K89">
        <v>0</v>
      </c>
      <c r="L89">
        <v>92.787432539682527</v>
      </c>
      <c r="M89">
        <v>8.34</v>
      </c>
      <c r="N89">
        <v>2.7</v>
      </c>
      <c r="O89">
        <v>3.09</v>
      </c>
      <c r="P89">
        <v>14</v>
      </c>
      <c r="Q89">
        <v>62.190717204513803</v>
      </c>
      <c r="R89">
        <v>2.61</v>
      </c>
      <c r="S89">
        <v>34.99</v>
      </c>
      <c r="T89">
        <v>2.44</v>
      </c>
      <c r="U89">
        <v>17.34557661782662</v>
      </c>
      <c r="V89">
        <v>28.25029749842545</v>
      </c>
      <c r="W89">
        <v>78.341063492063483</v>
      </c>
      <c r="X89">
        <v>29.001807900432901</v>
      </c>
      <c r="Y89">
        <v>30.000280663780671</v>
      </c>
      <c r="Z89">
        <v>232.57872619047609</v>
      </c>
      <c r="AA89">
        <v>165.20524542124551</v>
      </c>
    </row>
    <row r="90" spans="1:27" hidden="1">
      <c r="A90">
        <v>27</v>
      </c>
      <c r="B90">
        <v>1</v>
      </c>
      <c r="C90">
        <v>21.258503000000001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84.414005213684234</v>
      </c>
      <c r="M90">
        <v>84.11</v>
      </c>
      <c r="N90">
        <v>45.8</v>
      </c>
      <c r="O90">
        <v>1.84</v>
      </c>
      <c r="P90">
        <v>40.909999999999997</v>
      </c>
      <c r="Q90">
        <v>52.920171510823238</v>
      </c>
      <c r="R90">
        <v>0.33</v>
      </c>
      <c r="S90">
        <v>33.340000000000003</v>
      </c>
      <c r="T90">
        <v>4.46</v>
      </c>
      <c r="U90">
        <v>9.7963293650793659</v>
      </c>
      <c r="V90">
        <v>27.56429040010109</v>
      </c>
      <c r="W90">
        <v>68.893269991489404</v>
      </c>
      <c r="X90">
        <v>21.545275785718619</v>
      </c>
      <c r="Y90">
        <v>17.568233405483412</v>
      </c>
      <c r="Z90">
        <v>1776.8466290986789</v>
      </c>
      <c r="AA90">
        <v>1163.2967940115441</v>
      </c>
    </row>
    <row r="91" spans="1:27">
      <c r="A91">
        <v>35</v>
      </c>
      <c r="B91">
        <v>1</v>
      </c>
      <c r="C91">
        <v>29.410758999999999</v>
      </c>
      <c r="D91">
        <v>0</v>
      </c>
      <c r="E91">
        <v>1</v>
      </c>
      <c r="F91">
        <v>1</v>
      </c>
      <c r="G91">
        <v>1</v>
      </c>
      <c r="H91">
        <v>1</v>
      </c>
      <c r="I91">
        <v>0</v>
      </c>
      <c r="J91">
        <v>0</v>
      </c>
      <c r="K91">
        <v>0</v>
      </c>
      <c r="L91">
        <v>83.230820265462512</v>
      </c>
      <c r="M91">
        <v>149.11000000000001</v>
      </c>
      <c r="N91">
        <v>15.7</v>
      </c>
      <c r="O91">
        <v>9.5</v>
      </c>
      <c r="P91">
        <v>39.5</v>
      </c>
      <c r="Q91">
        <v>76.360941242256516</v>
      </c>
      <c r="R91">
        <v>0.34</v>
      </c>
      <c r="S91">
        <v>31.73</v>
      </c>
      <c r="T91">
        <v>7.71</v>
      </c>
      <c r="U91">
        <v>12.2371221001221</v>
      </c>
      <c r="V91">
        <v>32.094128230886291</v>
      </c>
      <c r="W91">
        <v>66.349612454669668</v>
      </c>
      <c r="X91">
        <v>23.875642062716469</v>
      </c>
      <c r="Y91">
        <v>21.25231532356533</v>
      </c>
      <c r="Z91">
        <v>1569.9824007936511</v>
      </c>
      <c r="AA91">
        <v>1064.910202741703</v>
      </c>
    </row>
    <row r="92" spans="1:27">
      <c r="A92">
        <v>36</v>
      </c>
      <c r="B92">
        <v>0</v>
      </c>
      <c r="C92">
        <v>30.449826999999999</v>
      </c>
      <c r="D92">
        <v>0</v>
      </c>
      <c r="E92">
        <v>0</v>
      </c>
      <c r="F92">
        <v>1</v>
      </c>
      <c r="G92">
        <v>0</v>
      </c>
      <c r="H92">
        <v>1</v>
      </c>
      <c r="I92">
        <v>0</v>
      </c>
      <c r="J92">
        <v>0</v>
      </c>
      <c r="K92">
        <v>0</v>
      </c>
      <c r="L92">
        <v>78.936976289993538</v>
      </c>
      <c r="M92">
        <v>70.849999999999994</v>
      </c>
      <c r="N92">
        <v>92.38</v>
      </c>
      <c r="O92">
        <v>0.77</v>
      </c>
      <c r="P92">
        <v>48.21</v>
      </c>
      <c r="Q92">
        <v>35.300426147420673</v>
      </c>
      <c r="R92">
        <v>0.25</v>
      </c>
      <c r="S92">
        <v>33.299999999999997</v>
      </c>
      <c r="T92">
        <v>7.22</v>
      </c>
      <c r="U92">
        <v>12.282426937441651</v>
      </c>
      <c r="V92">
        <v>30.219574102509799</v>
      </c>
      <c r="W92">
        <v>67.768428996699896</v>
      </c>
      <c r="X92">
        <v>25.78881724426008</v>
      </c>
      <c r="Y92">
        <v>20.128676434676439</v>
      </c>
      <c r="Z92">
        <v>2564.7424444721942</v>
      </c>
      <c r="AA92">
        <v>1332.5712828282831</v>
      </c>
    </row>
    <row r="93" spans="1:27" hidden="1">
      <c r="A93">
        <v>58</v>
      </c>
      <c r="B93">
        <v>1</v>
      </c>
      <c r="C93">
        <v>27.180900000000001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1</v>
      </c>
      <c r="K93">
        <v>0</v>
      </c>
      <c r="L93">
        <v>81.769352147852146</v>
      </c>
      <c r="M93">
        <v>1.94</v>
      </c>
      <c r="N93">
        <v>0.78</v>
      </c>
      <c r="O93">
        <v>2.48</v>
      </c>
      <c r="P93">
        <v>15.51</v>
      </c>
      <c r="Q93">
        <v>61.528662978565173</v>
      </c>
      <c r="R93">
        <v>0.62</v>
      </c>
      <c r="S93">
        <v>30.19</v>
      </c>
      <c r="T93">
        <v>1.71</v>
      </c>
      <c r="U93">
        <v>7.0901399513742884</v>
      </c>
      <c r="V93">
        <v>14.792652597402601</v>
      </c>
      <c r="W93">
        <v>54.762945414722807</v>
      </c>
      <c r="X93">
        <v>14.057347362046279</v>
      </c>
      <c r="Y93">
        <v>9.4704926184926173</v>
      </c>
      <c r="Z93">
        <v>262.43854761904748</v>
      </c>
      <c r="AA93">
        <v>199.8648841575091</v>
      </c>
    </row>
    <row r="94" spans="1:27" hidden="1">
      <c r="A94">
        <v>48</v>
      </c>
      <c r="B94">
        <v>1</v>
      </c>
      <c r="C94">
        <v>31.511500999999999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71.940630018674128</v>
      </c>
      <c r="M94">
        <v>23.6</v>
      </c>
      <c r="N94">
        <v>15.75</v>
      </c>
      <c r="O94">
        <v>1.5</v>
      </c>
      <c r="P94">
        <v>28.63</v>
      </c>
      <c r="Q94">
        <v>56.861330566400923</v>
      </c>
      <c r="R94">
        <v>1</v>
      </c>
      <c r="S94">
        <v>34.369999999999997</v>
      </c>
      <c r="T94">
        <v>2.04</v>
      </c>
      <c r="U94">
        <v>9.3653818224259417</v>
      </c>
      <c r="V94">
        <v>25.16211067326805</v>
      </c>
      <c r="W94">
        <v>60.235181340394931</v>
      </c>
      <c r="X94">
        <v>14.567572224962859</v>
      </c>
      <c r="Y94">
        <v>15.70701154401155</v>
      </c>
      <c r="Z94">
        <v>900.86835658785651</v>
      </c>
      <c r="AA94">
        <v>582.59234247488246</v>
      </c>
    </row>
    <row r="95" spans="1:27" hidden="1">
      <c r="A95">
        <v>65</v>
      </c>
      <c r="B95">
        <v>0</v>
      </c>
      <c r="C95">
        <v>24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65.33202224627226</v>
      </c>
      <c r="M95">
        <v>27.09</v>
      </c>
      <c r="N95">
        <v>53.83</v>
      </c>
      <c r="O95">
        <v>0.5</v>
      </c>
      <c r="P95">
        <v>31.75</v>
      </c>
      <c r="Q95">
        <v>27.822399863627972</v>
      </c>
      <c r="R95">
        <v>0.27</v>
      </c>
      <c r="S95">
        <v>30.6</v>
      </c>
      <c r="T95">
        <v>4.51</v>
      </c>
      <c r="U95">
        <v>8.0390770063270072</v>
      </c>
      <c r="V95">
        <v>19.23742159780776</v>
      </c>
      <c r="W95">
        <v>71.059476190476204</v>
      </c>
      <c r="X95">
        <v>12.74662734970568</v>
      </c>
      <c r="Y95">
        <v>10.42116507936508</v>
      </c>
      <c r="Z95">
        <v>1130.6295109364321</v>
      </c>
      <c r="AA95">
        <v>609.91405659722932</v>
      </c>
    </row>
    <row r="96" spans="1:27" hidden="1">
      <c r="A96">
        <v>38</v>
      </c>
      <c r="B96">
        <v>1</v>
      </c>
      <c r="C96">
        <v>22.857143000000001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88.57888243438245</v>
      </c>
      <c r="M96">
        <v>46.44</v>
      </c>
      <c r="N96">
        <v>11.1</v>
      </c>
      <c r="O96">
        <v>4.18</v>
      </c>
      <c r="P96">
        <v>24.9</v>
      </c>
      <c r="Q96">
        <v>70.940103817787389</v>
      </c>
      <c r="R96">
        <v>0.85</v>
      </c>
      <c r="S96">
        <v>33.26</v>
      </c>
      <c r="T96">
        <v>7.9</v>
      </c>
      <c r="U96">
        <v>5.3387239595715599</v>
      </c>
      <c r="V96">
        <v>11.550382136344609</v>
      </c>
      <c r="W96">
        <v>60.648251440410867</v>
      </c>
      <c r="X96">
        <v>4.6202514332474918</v>
      </c>
      <c r="Y96">
        <v>4.4074077693113214</v>
      </c>
      <c r="Z96">
        <v>647.791402879104</v>
      </c>
      <c r="AA96">
        <v>341.48821117771121</v>
      </c>
    </row>
    <row r="97" spans="1:27">
      <c r="A97">
        <v>61</v>
      </c>
      <c r="B97">
        <v>0</v>
      </c>
      <c r="C97">
        <v>19.921875</v>
      </c>
      <c r="D97">
        <v>0</v>
      </c>
      <c r="E97">
        <v>1</v>
      </c>
      <c r="F97">
        <v>1</v>
      </c>
      <c r="G97">
        <v>0</v>
      </c>
      <c r="H97">
        <v>1</v>
      </c>
      <c r="I97">
        <v>0</v>
      </c>
      <c r="J97">
        <v>0</v>
      </c>
      <c r="K97">
        <v>0</v>
      </c>
      <c r="L97">
        <v>70.750764309764321</v>
      </c>
      <c r="M97">
        <v>30.52</v>
      </c>
      <c r="N97">
        <v>42.67</v>
      </c>
      <c r="O97">
        <v>0.72</v>
      </c>
      <c r="P97">
        <v>31.51</v>
      </c>
      <c r="Q97">
        <v>45.59659049884457</v>
      </c>
      <c r="R97">
        <v>0.26</v>
      </c>
      <c r="S97">
        <v>33.020000000000003</v>
      </c>
      <c r="T97">
        <v>5.42</v>
      </c>
      <c r="U97">
        <v>10.97257881007881</v>
      </c>
      <c r="V97">
        <v>26.583799649968999</v>
      </c>
      <c r="W97">
        <v>73.482246739974968</v>
      </c>
      <c r="X97">
        <v>26.899347187098449</v>
      </c>
      <c r="Y97">
        <v>22.358880230880231</v>
      </c>
      <c r="Z97">
        <v>1144.1212906983369</v>
      </c>
      <c r="AA97">
        <v>628.18600667931105</v>
      </c>
    </row>
    <row r="98" spans="1:27" hidden="1">
      <c r="A98">
        <v>65</v>
      </c>
      <c r="B98">
        <v>0</v>
      </c>
      <c r="C98">
        <v>20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70.338200276575293</v>
      </c>
      <c r="M98">
        <v>57.47</v>
      </c>
      <c r="N98">
        <v>22.88</v>
      </c>
      <c r="O98">
        <v>2.5099999999999998</v>
      </c>
      <c r="P98">
        <v>31.56</v>
      </c>
      <c r="Q98">
        <v>69.041567809217455</v>
      </c>
      <c r="R98">
        <v>0.27</v>
      </c>
      <c r="S98">
        <v>32.19</v>
      </c>
      <c r="T98">
        <v>6.62</v>
      </c>
      <c r="U98">
        <v>5.9635526124202594</v>
      </c>
      <c r="V98">
        <v>17.141863823998499</v>
      </c>
      <c r="W98">
        <v>68.307933862433899</v>
      </c>
      <c r="X98">
        <v>10.38272366522367</v>
      </c>
      <c r="Y98">
        <v>5.4524682096358923</v>
      </c>
      <c r="Z98">
        <v>1137.735193295739</v>
      </c>
      <c r="AA98">
        <v>626.87937826751636</v>
      </c>
    </row>
    <row r="99" spans="1:27" hidden="1">
      <c r="A99">
        <v>22</v>
      </c>
      <c r="B99">
        <v>1</v>
      </c>
      <c r="C99">
        <v>19.883853999999999</v>
      </c>
      <c r="D99">
        <v>0</v>
      </c>
      <c r="E99">
        <v>1</v>
      </c>
      <c r="F99">
        <v>0</v>
      </c>
      <c r="G99">
        <v>1</v>
      </c>
      <c r="H99">
        <v>1</v>
      </c>
      <c r="I99">
        <v>0</v>
      </c>
      <c r="J99">
        <v>0</v>
      </c>
      <c r="K99">
        <v>0</v>
      </c>
      <c r="L99">
        <v>68.949752956456521</v>
      </c>
      <c r="M99">
        <v>116.66</v>
      </c>
      <c r="N99">
        <v>280.54000000000002</v>
      </c>
      <c r="O99">
        <v>0.42</v>
      </c>
      <c r="P99">
        <v>80.86</v>
      </c>
      <c r="Q99">
        <v>28.803448892844148</v>
      </c>
      <c r="R99">
        <v>0.31</v>
      </c>
      <c r="S99">
        <v>30.31</v>
      </c>
      <c r="T99">
        <v>10.62</v>
      </c>
      <c r="U99">
        <v>12.554278944911291</v>
      </c>
      <c r="V99">
        <v>35.256125522138667</v>
      </c>
      <c r="W99">
        <v>63.141380233130249</v>
      </c>
      <c r="X99">
        <v>24.177742979242971</v>
      </c>
      <c r="Y99">
        <v>20.04111796536797</v>
      </c>
      <c r="Z99">
        <v>4519.9459007936521</v>
      </c>
      <c r="AA99">
        <v>2165.6214680714288</v>
      </c>
    </row>
    <row r="100" spans="1:27" hidden="1">
      <c r="A100">
        <v>43</v>
      </c>
      <c r="B100">
        <v>1</v>
      </c>
      <c r="C100">
        <v>21.612812000000002</v>
      </c>
      <c r="D100">
        <v>0</v>
      </c>
      <c r="E100">
        <v>1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67.108153423201387</v>
      </c>
      <c r="M100">
        <v>42.17</v>
      </c>
      <c r="N100">
        <v>249.34</v>
      </c>
      <c r="O100">
        <v>0.17</v>
      </c>
      <c r="P100">
        <v>62.18</v>
      </c>
      <c r="Q100">
        <v>23.7043687014393</v>
      </c>
      <c r="R100">
        <v>0.53</v>
      </c>
      <c r="S100">
        <v>34.49</v>
      </c>
      <c r="T100">
        <v>14.38</v>
      </c>
      <c r="U100">
        <v>10.39892948717949</v>
      </c>
      <c r="V100">
        <v>29.43649016792585</v>
      </c>
      <c r="W100">
        <v>67.06940636045239</v>
      </c>
      <c r="X100">
        <v>13.613463846146979</v>
      </c>
      <c r="Y100">
        <v>11.616503968253969</v>
      </c>
      <c r="Z100">
        <v>2997.7994166666672</v>
      </c>
      <c r="AA100">
        <v>1349.32095916306</v>
      </c>
    </row>
    <row r="101" spans="1:27" hidden="1">
      <c r="A101">
        <v>54</v>
      </c>
      <c r="B101">
        <v>1</v>
      </c>
      <c r="C101">
        <v>25.648917999999998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69.591561387686397</v>
      </c>
      <c r="M101">
        <v>76.86</v>
      </c>
      <c r="N101">
        <v>13.27</v>
      </c>
      <c r="O101">
        <v>5.79</v>
      </c>
      <c r="P101">
        <v>38.450000000000003</v>
      </c>
      <c r="Q101">
        <v>77.578821667734587</v>
      </c>
      <c r="R101">
        <v>0.59</v>
      </c>
      <c r="S101">
        <v>32.72</v>
      </c>
      <c r="T101">
        <v>4.79</v>
      </c>
      <c r="U101">
        <v>8.7203020631329462</v>
      </c>
      <c r="V101">
        <v>27.580119645762679</v>
      </c>
      <c r="W101">
        <v>64.311619047619061</v>
      </c>
      <c r="X101">
        <v>13.87173920353812</v>
      </c>
      <c r="Y101">
        <v>11.887166666666671</v>
      </c>
      <c r="Z101">
        <v>1437.9030465367971</v>
      </c>
      <c r="AA101">
        <v>1034.8605613275611</v>
      </c>
    </row>
    <row r="102" spans="1:27" hidden="1">
      <c r="A102">
        <v>25</v>
      </c>
      <c r="B102">
        <v>0</v>
      </c>
      <c r="C102">
        <v>16.937033</v>
      </c>
      <c r="D102">
        <v>0</v>
      </c>
      <c r="E102">
        <v>1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81.666674394319131</v>
      </c>
      <c r="M102">
        <v>40.119999999999997</v>
      </c>
      <c r="N102">
        <v>39.56</v>
      </c>
      <c r="O102">
        <v>1.01</v>
      </c>
      <c r="P102">
        <v>79.62</v>
      </c>
      <c r="Q102">
        <v>49.925014116056353</v>
      </c>
      <c r="R102">
        <v>0.41</v>
      </c>
      <c r="S102">
        <v>33.61</v>
      </c>
      <c r="T102">
        <v>6.51</v>
      </c>
      <c r="U102">
        <v>12.875629318394029</v>
      </c>
      <c r="V102">
        <v>31.67937070580491</v>
      </c>
      <c r="W102">
        <v>71.040463279410645</v>
      </c>
      <c r="X102">
        <v>30.978119924328539</v>
      </c>
      <c r="Y102">
        <v>24.915146825396821</v>
      </c>
      <c r="Z102">
        <v>3576.3371269841282</v>
      </c>
      <c r="AA102">
        <v>2104.9969108669111</v>
      </c>
    </row>
    <row r="103" spans="1:27">
      <c r="A103">
        <v>52</v>
      </c>
      <c r="B103">
        <v>0</v>
      </c>
      <c r="C103">
        <v>23.883210999999999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</v>
      </c>
      <c r="J103">
        <v>1</v>
      </c>
      <c r="K103">
        <v>0</v>
      </c>
      <c r="L103">
        <v>64.658100724271065</v>
      </c>
      <c r="M103">
        <v>57.38</v>
      </c>
      <c r="N103">
        <v>95.32</v>
      </c>
      <c r="O103">
        <v>0.6</v>
      </c>
      <c r="P103">
        <v>43.17</v>
      </c>
      <c r="Q103">
        <v>29.227839707255249</v>
      </c>
      <c r="R103">
        <v>0.18</v>
      </c>
      <c r="S103">
        <v>31.1</v>
      </c>
      <c r="T103">
        <v>5.61</v>
      </c>
      <c r="U103">
        <v>11.18398540185305</v>
      </c>
      <c r="V103">
        <v>29.48062379709625</v>
      </c>
      <c r="W103">
        <v>65.19068582935644</v>
      </c>
      <c r="X103">
        <v>28.781714288706929</v>
      </c>
      <c r="Y103">
        <v>22.175735958485951</v>
      </c>
      <c r="Z103">
        <v>1919.8056781470159</v>
      </c>
      <c r="AA103">
        <v>1081.209485209235</v>
      </c>
    </row>
    <row r="104" spans="1:27" hidden="1">
      <c r="A104">
        <v>35</v>
      </c>
      <c r="B104">
        <v>1</v>
      </c>
      <c r="C104">
        <v>18.253108999999998</v>
      </c>
      <c r="D104">
        <v>0</v>
      </c>
      <c r="E104">
        <v>1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73.819757006151747</v>
      </c>
      <c r="M104">
        <v>115.2</v>
      </c>
      <c r="N104">
        <v>106.84</v>
      </c>
      <c r="O104">
        <v>1.08</v>
      </c>
      <c r="P104">
        <v>53.21</v>
      </c>
      <c r="Q104">
        <v>39.765889847324289</v>
      </c>
      <c r="R104">
        <v>0.28999999999999998</v>
      </c>
      <c r="S104">
        <v>27.26</v>
      </c>
      <c r="T104">
        <v>5.15</v>
      </c>
      <c r="U104">
        <v>10.50207142857143</v>
      </c>
      <c r="V104">
        <v>30.10387085137085</v>
      </c>
      <c r="W104">
        <v>59.231306341060403</v>
      </c>
      <c r="X104">
        <v>19.479831516290719</v>
      </c>
      <c r="Y104">
        <v>15.8794161949162</v>
      </c>
      <c r="Z104">
        <v>3102.1899651875892</v>
      </c>
      <c r="AA104">
        <v>1777.4908168498159</v>
      </c>
    </row>
    <row r="105" spans="1:27">
      <c r="A105">
        <v>45</v>
      </c>
      <c r="B105">
        <v>0</v>
      </c>
      <c r="C105">
        <v>27.407658000000001</v>
      </c>
      <c r="D105">
        <v>0</v>
      </c>
      <c r="E105">
        <v>1</v>
      </c>
      <c r="F105">
        <v>1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77.206499518999507</v>
      </c>
      <c r="M105">
        <v>61.15</v>
      </c>
      <c r="N105">
        <v>21.95</v>
      </c>
      <c r="O105">
        <v>2.79</v>
      </c>
      <c r="P105">
        <v>26.51</v>
      </c>
      <c r="Q105">
        <v>72.351556789447429</v>
      </c>
      <c r="R105">
        <v>0.65</v>
      </c>
      <c r="S105">
        <v>29.37</v>
      </c>
      <c r="T105">
        <v>7.92</v>
      </c>
      <c r="U105">
        <v>12.912958066443361</v>
      </c>
      <c r="V105">
        <v>28.287618582210239</v>
      </c>
      <c r="W105">
        <v>62.29633078258076</v>
      </c>
      <c r="X105">
        <v>23.040565742262839</v>
      </c>
      <c r="Y105">
        <v>22.984532585470081</v>
      </c>
      <c r="Z105">
        <v>671.34196698236133</v>
      </c>
      <c r="AA105">
        <v>335.75007012432008</v>
      </c>
    </row>
    <row r="106" spans="1:27">
      <c r="A106">
        <v>22</v>
      </c>
      <c r="B106">
        <v>0</v>
      </c>
      <c r="C106">
        <v>27.407658000000001</v>
      </c>
      <c r="D106">
        <v>0</v>
      </c>
      <c r="E106">
        <v>1</v>
      </c>
      <c r="F106">
        <v>1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85.405315268008977</v>
      </c>
      <c r="M106">
        <v>27.43</v>
      </c>
      <c r="N106">
        <v>47.71</v>
      </c>
      <c r="O106">
        <v>0.56999999999999995</v>
      </c>
      <c r="P106">
        <v>30.33</v>
      </c>
      <c r="Q106">
        <v>32.491254263781229</v>
      </c>
      <c r="R106">
        <v>0.28999999999999998</v>
      </c>
      <c r="S106">
        <v>29.66</v>
      </c>
      <c r="T106">
        <v>5.54</v>
      </c>
      <c r="U106">
        <v>12.524660200910199</v>
      </c>
      <c r="V106">
        <v>31.634253661255141</v>
      </c>
      <c r="W106">
        <v>66.078822301967051</v>
      </c>
      <c r="X106">
        <v>32.717253861164657</v>
      </c>
      <c r="Y106">
        <v>25.145255799755802</v>
      </c>
      <c r="Z106">
        <v>1092.529944444444</v>
      </c>
      <c r="AA106">
        <v>543.10562818605808</v>
      </c>
    </row>
    <row r="107" spans="1:27" hidden="1">
      <c r="A107">
        <v>43</v>
      </c>
      <c r="B107">
        <v>0</v>
      </c>
      <c r="C107">
        <v>20.3125</v>
      </c>
      <c r="D107">
        <v>0</v>
      </c>
      <c r="E107">
        <v>1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68.92819197469197</v>
      </c>
      <c r="M107">
        <v>602.86</v>
      </c>
      <c r="N107">
        <v>67.61</v>
      </c>
      <c r="O107">
        <v>8.92</v>
      </c>
      <c r="P107">
        <v>64.680000000000007</v>
      </c>
      <c r="Q107">
        <v>81.570409880225995</v>
      </c>
      <c r="R107">
        <v>0.56999999999999995</v>
      </c>
      <c r="S107">
        <v>28.28</v>
      </c>
      <c r="T107">
        <v>12.63</v>
      </c>
      <c r="U107">
        <v>12.399669490640081</v>
      </c>
      <c r="V107">
        <v>30.63970984278879</v>
      </c>
      <c r="W107">
        <v>61.131295303625421</v>
      </c>
      <c r="X107">
        <v>24.097382434850619</v>
      </c>
      <c r="Y107">
        <v>21.554165445665451</v>
      </c>
      <c r="Z107">
        <v>3912.49190873016</v>
      </c>
      <c r="AA107">
        <v>2184.7671665157618</v>
      </c>
    </row>
    <row r="108" spans="1:27" hidden="1">
      <c r="A108">
        <v>65</v>
      </c>
      <c r="B108">
        <v>0</v>
      </c>
      <c r="C108">
        <v>22.074100000000001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71.687267546056745</v>
      </c>
      <c r="M108">
        <v>56.88</v>
      </c>
      <c r="N108">
        <v>41.6</v>
      </c>
      <c r="O108">
        <v>1.37</v>
      </c>
      <c r="P108">
        <v>29.18</v>
      </c>
      <c r="Q108">
        <v>60.551834893874393</v>
      </c>
      <c r="R108">
        <v>0.69</v>
      </c>
      <c r="S108">
        <v>31.45</v>
      </c>
      <c r="T108">
        <v>7.35</v>
      </c>
      <c r="U108">
        <v>7.8637371974430801</v>
      </c>
      <c r="V108">
        <v>26.405726789223081</v>
      </c>
      <c r="W108">
        <v>61.993383411690637</v>
      </c>
      <c r="X108">
        <v>13.66675740200632</v>
      </c>
      <c r="Y108">
        <v>10.724279761904761</v>
      </c>
      <c r="Z108">
        <v>898.80340745365709</v>
      </c>
      <c r="AA108">
        <v>561.19512699506322</v>
      </c>
    </row>
    <row r="109" spans="1:27">
      <c r="A109">
        <v>49</v>
      </c>
      <c r="B109">
        <v>0</v>
      </c>
      <c r="C109">
        <v>22.506926</v>
      </c>
      <c r="D109">
        <v>0</v>
      </c>
      <c r="E109">
        <v>1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69.672870713350989</v>
      </c>
      <c r="M109">
        <v>209.24</v>
      </c>
      <c r="N109">
        <v>56.58</v>
      </c>
      <c r="O109">
        <v>3.7</v>
      </c>
      <c r="P109">
        <v>55.96</v>
      </c>
      <c r="Q109">
        <v>69.784041940879291</v>
      </c>
      <c r="R109">
        <v>0.23</v>
      </c>
      <c r="S109">
        <v>31.34</v>
      </c>
      <c r="T109">
        <v>7.06</v>
      </c>
      <c r="U109">
        <v>11.521097931480289</v>
      </c>
      <c r="V109">
        <v>27.803529745454188</v>
      </c>
      <c r="W109">
        <v>60.712788591654302</v>
      </c>
      <c r="X109">
        <v>28.464855116180122</v>
      </c>
      <c r="Y109">
        <v>23.34925976800977</v>
      </c>
      <c r="Z109">
        <v>3323.137477956253</v>
      </c>
      <c r="AA109">
        <v>2022.768072722833</v>
      </c>
    </row>
    <row r="110" spans="1:27" hidden="1">
      <c r="A110">
        <v>68</v>
      </c>
      <c r="B110">
        <v>1</v>
      </c>
      <c r="C110">
        <v>20.040679999999998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79.445075436498698</v>
      </c>
      <c r="M110">
        <v>24.28</v>
      </c>
      <c r="N110">
        <v>4.5</v>
      </c>
      <c r="O110">
        <v>5.39</v>
      </c>
      <c r="P110">
        <v>20.56</v>
      </c>
      <c r="Q110">
        <v>59.510633493268521</v>
      </c>
      <c r="R110">
        <v>0.14000000000000001</v>
      </c>
      <c r="S110">
        <v>30.59</v>
      </c>
      <c r="T110">
        <v>1.93</v>
      </c>
      <c r="U110">
        <v>7.5030423742923764</v>
      </c>
      <c r="V110">
        <v>15.80130617258558</v>
      </c>
      <c r="W110">
        <v>69.785668498168505</v>
      </c>
      <c r="X110">
        <v>15.82590133813555</v>
      </c>
      <c r="Y110">
        <v>9.0187252747252753</v>
      </c>
      <c r="Z110">
        <v>640.60772036297055</v>
      </c>
      <c r="AA110">
        <v>253.63070256132761</v>
      </c>
    </row>
    <row r="111" spans="1:27">
      <c r="A111">
        <v>29</v>
      </c>
      <c r="B111">
        <v>0</v>
      </c>
      <c r="C111">
        <v>27.099250000000001</v>
      </c>
      <c r="D111">
        <v>0</v>
      </c>
      <c r="E111">
        <v>1</v>
      </c>
      <c r="F111">
        <v>1</v>
      </c>
      <c r="G111">
        <v>0</v>
      </c>
      <c r="H111">
        <v>0</v>
      </c>
      <c r="I111">
        <v>1</v>
      </c>
      <c r="J111">
        <v>1</v>
      </c>
      <c r="K111">
        <v>0</v>
      </c>
      <c r="L111">
        <v>103.7012204184704</v>
      </c>
      <c r="M111">
        <v>0.73</v>
      </c>
      <c r="N111">
        <v>0.27</v>
      </c>
      <c r="O111">
        <v>2.73</v>
      </c>
      <c r="P111">
        <v>8.64</v>
      </c>
      <c r="Q111">
        <v>62.259888618000502</v>
      </c>
      <c r="R111">
        <v>0.79</v>
      </c>
      <c r="S111">
        <v>32.520000000000003</v>
      </c>
      <c r="T111">
        <v>2.0299999999999998</v>
      </c>
      <c r="U111">
        <v>18.399400793650791</v>
      </c>
      <c r="V111">
        <v>32.713682539682537</v>
      </c>
      <c r="W111">
        <v>82.083087301587312</v>
      </c>
      <c r="X111">
        <v>37.655950396825403</v>
      </c>
      <c r="Y111">
        <v>35.534448412698417</v>
      </c>
      <c r="Z111">
        <v>100.09755952380949</v>
      </c>
      <c r="AA111">
        <v>48.887071428571417</v>
      </c>
    </row>
    <row r="112" spans="1:27" hidden="1">
      <c r="A112">
        <v>49</v>
      </c>
      <c r="B112">
        <v>0</v>
      </c>
      <c r="C112">
        <v>23.423556999999999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64.653564716909372</v>
      </c>
      <c r="M112">
        <v>631.22</v>
      </c>
      <c r="N112">
        <v>828.67</v>
      </c>
      <c r="O112">
        <v>0.76</v>
      </c>
      <c r="P112">
        <v>96.54</v>
      </c>
      <c r="Q112">
        <v>37.987860485758198</v>
      </c>
      <c r="R112">
        <v>7.0000000000000007E-2</v>
      </c>
      <c r="S112">
        <v>27.28</v>
      </c>
      <c r="T112">
        <v>8.0299999999999994</v>
      </c>
      <c r="U112">
        <v>4.7549879271055771</v>
      </c>
      <c r="V112">
        <v>15.69739506882007</v>
      </c>
      <c r="W112">
        <v>54.966868729785077</v>
      </c>
      <c r="X112">
        <v>10.16847474747475</v>
      </c>
      <c r="Y112">
        <v>3.802488192363191</v>
      </c>
      <c r="Z112">
        <v>5056.1582023809524</v>
      </c>
      <c r="AA112">
        <v>2523.5744869134201</v>
      </c>
    </row>
    <row r="113" spans="1:27" hidden="1">
      <c r="A113">
        <v>36</v>
      </c>
      <c r="B113">
        <v>1</v>
      </c>
      <c r="C113">
        <v>20.598607999999999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80.518749849246973</v>
      </c>
      <c r="M113">
        <v>71.09</v>
      </c>
      <c r="N113">
        <v>45.92</v>
      </c>
      <c r="O113">
        <v>1.55</v>
      </c>
      <c r="P113">
        <v>48.34</v>
      </c>
      <c r="Q113">
        <v>47.035876492506418</v>
      </c>
      <c r="R113">
        <v>0.6</v>
      </c>
      <c r="S113">
        <v>26.49</v>
      </c>
      <c r="T113">
        <v>5.28</v>
      </c>
      <c r="U113">
        <v>7.6435704336513162</v>
      </c>
      <c r="V113">
        <v>20.131525961323501</v>
      </c>
      <c r="W113">
        <v>54.787422198492642</v>
      </c>
      <c r="X113">
        <v>12.63036437232358</v>
      </c>
      <c r="Y113">
        <v>10.677574531024529</v>
      </c>
      <c r="Z113">
        <v>2073.6584655344659</v>
      </c>
      <c r="AA113">
        <v>1319.3835452635601</v>
      </c>
    </row>
    <row r="114" spans="1:27" hidden="1">
      <c r="A114">
        <v>30</v>
      </c>
      <c r="B114">
        <v>0</v>
      </c>
      <c r="C114">
        <v>21.192743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79.731478896103908</v>
      </c>
      <c r="M114">
        <v>235.82</v>
      </c>
      <c r="N114">
        <v>74.55</v>
      </c>
      <c r="O114">
        <v>3.16</v>
      </c>
      <c r="P114">
        <v>56.18</v>
      </c>
      <c r="Q114">
        <v>72.306310280872665</v>
      </c>
      <c r="R114">
        <v>0.56000000000000005</v>
      </c>
      <c r="S114">
        <v>30.35</v>
      </c>
      <c r="T114">
        <v>6.41</v>
      </c>
      <c r="U114">
        <v>11.83184120944415</v>
      </c>
      <c r="V114">
        <v>25.46297187023503</v>
      </c>
      <c r="W114">
        <v>61.593954680834862</v>
      </c>
      <c r="X114">
        <v>17.323215394313731</v>
      </c>
      <c r="Y114">
        <v>16.07034425296925</v>
      </c>
      <c r="Z114">
        <v>3075.4616705969461</v>
      </c>
      <c r="AA114">
        <v>2024.322842326007</v>
      </c>
    </row>
    <row r="115" spans="1:27">
      <c r="A115">
        <v>57</v>
      </c>
      <c r="B115">
        <v>1</v>
      </c>
      <c r="C115">
        <v>22.038567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67.196546845307253</v>
      </c>
      <c r="M115">
        <v>235.82</v>
      </c>
      <c r="N115">
        <v>74.55</v>
      </c>
      <c r="O115">
        <v>3.16</v>
      </c>
      <c r="P115">
        <v>56.18</v>
      </c>
      <c r="Q115">
        <v>72.222029501813168</v>
      </c>
      <c r="R115">
        <v>0.56000000000000005</v>
      </c>
      <c r="S115">
        <v>30.35</v>
      </c>
      <c r="T115">
        <v>6.41</v>
      </c>
      <c r="U115">
        <v>9.9785693097751889</v>
      </c>
      <c r="V115">
        <v>27.071657295920449</v>
      </c>
      <c r="W115">
        <v>61.51049846519517</v>
      </c>
      <c r="X115">
        <v>18.576981249795949</v>
      </c>
      <c r="Y115">
        <v>14.704040043290041</v>
      </c>
      <c r="Z115">
        <v>3134.468388528137</v>
      </c>
      <c r="AA115">
        <v>2074.3124586752142</v>
      </c>
    </row>
    <row r="116" spans="1:27" hidden="1">
      <c r="A116">
        <v>60</v>
      </c>
      <c r="B116">
        <v>0</v>
      </c>
      <c r="C116">
        <v>22.862368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65.17202328060786</v>
      </c>
      <c r="M116">
        <v>10.92</v>
      </c>
      <c r="N116">
        <v>111.85</v>
      </c>
      <c r="O116">
        <v>0.1</v>
      </c>
      <c r="P116">
        <v>33.76</v>
      </c>
      <c r="Q116">
        <v>31.308810419940219</v>
      </c>
      <c r="R116">
        <v>0.59</v>
      </c>
      <c r="S116">
        <v>32.96</v>
      </c>
      <c r="T116">
        <v>5.14</v>
      </c>
      <c r="U116">
        <v>7.8116689927719394</v>
      </c>
      <c r="V116">
        <v>23.9786132262706</v>
      </c>
      <c r="W116">
        <v>62.747049434187282</v>
      </c>
      <c r="X116">
        <v>13.19377249452474</v>
      </c>
      <c r="Y116">
        <v>12.734908730158731</v>
      </c>
      <c r="Z116">
        <v>1180.885424603174</v>
      </c>
      <c r="AA116">
        <v>721.50193951194001</v>
      </c>
    </row>
    <row r="117" spans="1:27" hidden="1">
      <c r="A117">
        <v>64</v>
      </c>
      <c r="B117">
        <v>0</v>
      </c>
      <c r="C117">
        <v>23.147255000000001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60.329163419575458</v>
      </c>
      <c r="M117">
        <v>431.38</v>
      </c>
      <c r="N117">
        <v>901.69</v>
      </c>
      <c r="O117">
        <v>0.48</v>
      </c>
      <c r="P117">
        <v>74.84</v>
      </c>
      <c r="Q117">
        <v>35.382763843481797</v>
      </c>
      <c r="R117">
        <v>2.64</v>
      </c>
      <c r="S117">
        <v>25.52</v>
      </c>
      <c r="T117">
        <v>6.3</v>
      </c>
      <c r="U117">
        <v>8.3182268009768023</v>
      </c>
      <c r="V117">
        <v>26.029105734767029</v>
      </c>
      <c r="W117">
        <v>61.766468446233539</v>
      </c>
      <c r="X117">
        <v>16.17504508400096</v>
      </c>
      <c r="Y117">
        <v>11.51443961038961</v>
      </c>
      <c r="Z117">
        <v>4469.1927857142864</v>
      </c>
      <c r="AA117">
        <v>2224.0503495072148</v>
      </c>
    </row>
    <row r="118" spans="1:27" hidden="1">
      <c r="A118">
        <v>60</v>
      </c>
      <c r="B118">
        <v>0</v>
      </c>
      <c r="C118">
        <v>34.626820000000002</v>
      </c>
      <c r="D118">
        <v>0</v>
      </c>
      <c r="E118">
        <v>1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63.076223424723423</v>
      </c>
      <c r="M118">
        <v>270.88</v>
      </c>
      <c r="N118">
        <v>589.03</v>
      </c>
      <c r="O118">
        <v>0.46</v>
      </c>
      <c r="P118">
        <v>97.59</v>
      </c>
      <c r="Q118">
        <v>30.776447646025261</v>
      </c>
      <c r="R118">
        <v>0.2</v>
      </c>
      <c r="S118">
        <v>32.630000000000003</v>
      </c>
      <c r="T118">
        <v>3.93</v>
      </c>
      <c r="U118">
        <v>11.96394480519481</v>
      </c>
      <c r="V118">
        <v>29.372506379585321</v>
      </c>
      <c r="W118">
        <v>67.754484126984138</v>
      </c>
      <c r="X118">
        <v>20.72186088293244</v>
      </c>
      <c r="Y118">
        <v>21.485579365079371</v>
      </c>
      <c r="Z118">
        <v>4801.9153888888904</v>
      </c>
      <c r="AA118">
        <v>2254.7139315476188</v>
      </c>
    </row>
    <row r="119" spans="1:27" hidden="1">
      <c r="A119">
        <v>53</v>
      </c>
      <c r="B119">
        <v>0</v>
      </c>
      <c r="C119">
        <v>20.324438000000001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64.723104612597979</v>
      </c>
      <c r="M119">
        <v>183.42</v>
      </c>
      <c r="N119">
        <v>270.94</v>
      </c>
      <c r="O119">
        <v>0.68</v>
      </c>
      <c r="P119">
        <v>64.14</v>
      </c>
      <c r="Q119">
        <v>35.473292251289386</v>
      </c>
      <c r="R119">
        <v>0.47</v>
      </c>
      <c r="S119">
        <v>32.21</v>
      </c>
      <c r="T119">
        <v>9.84</v>
      </c>
      <c r="U119">
        <v>9.0835789994319427</v>
      </c>
      <c r="V119">
        <v>23.305323574086739</v>
      </c>
      <c r="W119">
        <v>68.973935966810927</v>
      </c>
      <c r="X119">
        <v>15.12597452309344</v>
      </c>
      <c r="Y119">
        <v>12.714236885404571</v>
      </c>
      <c r="Z119">
        <v>3657.2683690476201</v>
      </c>
      <c r="AA119">
        <v>1803.906973217893</v>
      </c>
    </row>
    <row r="120" spans="1:27" hidden="1">
      <c r="A120">
        <v>54</v>
      </c>
      <c r="B120">
        <v>1</v>
      </c>
      <c r="C120">
        <v>26.027581999999999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70.216601278895382</v>
      </c>
      <c r="M120">
        <v>27.24</v>
      </c>
      <c r="N120">
        <v>33.99</v>
      </c>
      <c r="O120">
        <v>0.8</v>
      </c>
      <c r="P120">
        <v>29</v>
      </c>
      <c r="Q120">
        <v>51.234868368026937</v>
      </c>
      <c r="R120">
        <v>0.56000000000000005</v>
      </c>
      <c r="S120">
        <v>33.99</v>
      </c>
      <c r="T120">
        <v>2.11</v>
      </c>
      <c r="U120">
        <v>7.5947075979576004</v>
      </c>
      <c r="V120">
        <v>25.232608034094358</v>
      </c>
      <c r="W120">
        <v>61.589315425607992</v>
      </c>
      <c r="X120">
        <v>13.834302721160849</v>
      </c>
      <c r="Y120">
        <v>12.98458333333333</v>
      </c>
      <c r="Z120">
        <v>904.55731005105986</v>
      </c>
      <c r="AA120">
        <v>586.28222306651298</v>
      </c>
    </row>
    <row r="121" spans="1:27" hidden="1">
      <c r="A121">
        <v>64</v>
      </c>
      <c r="B121">
        <v>1</v>
      </c>
      <c r="C121">
        <v>19.335667000000001</v>
      </c>
      <c r="D121">
        <v>0</v>
      </c>
      <c r="E121">
        <v>1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62.539311058530721</v>
      </c>
      <c r="M121">
        <v>934.59</v>
      </c>
      <c r="N121">
        <v>873.27</v>
      </c>
      <c r="O121">
        <v>1.07</v>
      </c>
      <c r="P121">
        <v>129.93</v>
      </c>
      <c r="Q121">
        <v>42.357006323546777</v>
      </c>
      <c r="R121">
        <v>0.41</v>
      </c>
      <c r="S121">
        <v>23.39</v>
      </c>
      <c r="T121">
        <v>8.69</v>
      </c>
      <c r="U121">
        <v>8.0086901709401737</v>
      </c>
      <c r="V121">
        <v>28.34028968253968</v>
      </c>
      <c r="W121">
        <v>59.808861355490393</v>
      </c>
      <c r="X121">
        <v>16.661329933954931</v>
      </c>
      <c r="Y121">
        <v>12.179760489510491</v>
      </c>
      <c r="Z121">
        <v>4876.1102142857153</v>
      </c>
      <c r="AA121">
        <v>2456.604373825397</v>
      </c>
    </row>
    <row r="122" spans="1:27">
      <c r="A122">
        <v>63</v>
      </c>
      <c r="B122">
        <v>0</v>
      </c>
      <c r="C122">
        <v>22.832879999999999</v>
      </c>
      <c r="D122">
        <v>0</v>
      </c>
      <c r="E122">
        <v>1</v>
      </c>
      <c r="F122">
        <v>1</v>
      </c>
      <c r="G122">
        <v>0</v>
      </c>
      <c r="H122">
        <v>1</v>
      </c>
      <c r="I122">
        <v>1</v>
      </c>
      <c r="J122">
        <v>1</v>
      </c>
      <c r="K122">
        <v>0</v>
      </c>
      <c r="L122">
        <v>64.456126327045965</v>
      </c>
      <c r="M122">
        <v>269.23</v>
      </c>
      <c r="N122">
        <v>78.72</v>
      </c>
      <c r="O122">
        <v>3.42</v>
      </c>
      <c r="P122">
        <v>66.900000000000006</v>
      </c>
      <c r="Q122">
        <v>64.818555959188913</v>
      </c>
      <c r="R122">
        <v>0.28999999999999998</v>
      </c>
      <c r="S122">
        <v>26.23</v>
      </c>
      <c r="T122">
        <v>5.86</v>
      </c>
      <c r="U122">
        <v>9.7570341880341847</v>
      </c>
      <c r="V122">
        <v>20.847132783882788</v>
      </c>
      <c r="W122">
        <v>55.721314394281663</v>
      </c>
      <c r="X122">
        <v>21.431054123654121</v>
      </c>
      <c r="Y122">
        <v>16.189868686868682</v>
      </c>
      <c r="Z122">
        <v>4307.7633888888904</v>
      </c>
      <c r="AA122">
        <v>2357.3981976030641</v>
      </c>
    </row>
    <row r="123" spans="1:27" hidden="1">
      <c r="A123">
        <v>42</v>
      </c>
      <c r="B123">
        <v>1</v>
      </c>
      <c r="C123">
        <v>24.258675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75.158842663459694</v>
      </c>
      <c r="M123">
        <v>150.36000000000001</v>
      </c>
      <c r="N123">
        <v>87.28</v>
      </c>
      <c r="O123">
        <v>1.72</v>
      </c>
      <c r="P123">
        <v>47.11</v>
      </c>
      <c r="Q123">
        <v>53.840133136146108</v>
      </c>
      <c r="R123">
        <v>0.27</v>
      </c>
      <c r="S123">
        <v>33.08</v>
      </c>
      <c r="T123">
        <v>6.1</v>
      </c>
      <c r="U123">
        <v>5.2962552666631613</v>
      </c>
      <c r="V123">
        <v>13.9926236884031</v>
      </c>
      <c r="W123">
        <v>61.070172457537431</v>
      </c>
      <c r="X123">
        <v>9.8681771284271278</v>
      </c>
      <c r="Y123">
        <v>2.9515134618494132</v>
      </c>
      <c r="Z123">
        <v>2592.0352517482511</v>
      </c>
      <c r="AA123">
        <v>1420.991595238095</v>
      </c>
    </row>
    <row r="124" spans="1:27" hidden="1">
      <c r="A124">
        <v>52</v>
      </c>
      <c r="B124">
        <v>0</v>
      </c>
      <c r="C124">
        <v>23.372575999999999</v>
      </c>
      <c r="D124">
        <v>0</v>
      </c>
      <c r="E124">
        <v>1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70.953939722858848</v>
      </c>
      <c r="M124">
        <v>54.57</v>
      </c>
      <c r="N124">
        <v>30.61</v>
      </c>
      <c r="O124">
        <v>1.78</v>
      </c>
      <c r="P124">
        <v>28.96</v>
      </c>
      <c r="Q124">
        <v>64.88364434820852</v>
      </c>
      <c r="R124">
        <v>0.69</v>
      </c>
      <c r="S124">
        <v>34.86</v>
      </c>
      <c r="T124">
        <v>4.75</v>
      </c>
      <c r="U124">
        <v>8.479801443654388</v>
      </c>
      <c r="V124">
        <v>25.974646390090061</v>
      </c>
      <c r="W124">
        <v>60.764353298066908</v>
      </c>
      <c r="X124">
        <v>15.2925354512103</v>
      </c>
      <c r="Y124">
        <v>14.77661985930736</v>
      </c>
      <c r="Z124">
        <v>908.14552325452325</v>
      </c>
      <c r="AA124">
        <v>598.41751563505557</v>
      </c>
    </row>
    <row r="125" spans="1:27" hidden="1">
      <c r="A125">
        <v>30</v>
      </c>
      <c r="B125">
        <v>1</v>
      </c>
      <c r="C125">
        <v>21.258503000000001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78.515664973416463</v>
      </c>
      <c r="M125">
        <v>45.13</v>
      </c>
      <c r="N125">
        <v>125.54</v>
      </c>
      <c r="O125">
        <v>0.36</v>
      </c>
      <c r="P125">
        <v>37.200000000000003</v>
      </c>
      <c r="Q125">
        <v>27.86357382394856</v>
      </c>
      <c r="R125">
        <v>0.52</v>
      </c>
      <c r="S125">
        <v>30.96</v>
      </c>
      <c r="T125">
        <v>7.61</v>
      </c>
      <c r="U125">
        <v>11.174195108812761</v>
      </c>
      <c r="V125">
        <v>30.409383406869729</v>
      </c>
      <c r="W125">
        <v>63.339257997566428</v>
      </c>
      <c r="X125">
        <v>16.202581826274859</v>
      </c>
      <c r="Y125">
        <v>17.437957936507939</v>
      </c>
      <c r="Z125">
        <v>1357.7008355255859</v>
      </c>
      <c r="AA125">
        <v>733.79705794038318</v>
      </c>
    </row>
    <row r="126" spans="1:27">
      <c r="A126">
        <v>60</v>
      </c>
      <c r="B126">
        <v>0</v>
      </c>
      <c r="C126">
        <v>19.140625</v>
      </c>
      <c r="D126">
        <v>0</v>
      </c>
      <c r="E126">
        <v>0</v>
      </c>
      <c r="F126">
        <v>1</v>
      </c>
      <c r="G126">
        <v>0</v>
      </c>
      <c r="H126">
        <v>1</v>
      </c>
      <c r="I126">
        <v>0</v>
      </c>
      <c r="J126">
        <v>0</v>
      </c>
      <c r="K126">
        <v>1</v>
      </c>
      <c r="L126">
        <v>79.151171279381302</v>
      </c>
      <c r="M126">
        <v>21.26</v>
      </c>
      <c r="N126">
        <v>13.31</v>
      </c>
      <c r="O126">
        <v>1.6</v>
      </c>
      <c r="P126">
        <v>23.24</v>
      </c>
      <c r="Q126">
        <v>51.832036554642848</v>
      </c>
      <c r="R126">
        <v>0.13</v>
      </c>
      <c r="S126">
        <v>33.44</v>
      </c>
      <c r="T126">
        <v>2.73</v>
      </c>
      <c r="U126">
        <v>9.3636410533910546</v>
      </c>
      <c r="V126">
        <v>27.721390783635691</v>
      </c>
      <c r="W126">
        <v>66.352999034749061</v>
      </c>
      <c r="X126">
        <v>24.705593037910869</v>
      </c>
      <c r="Y126">
        <v>18.306611111111099</v>
      </c>
      <c r="Z126">
        <v>727.39626436528795</v>
      </c>
      <c r="AA126">
        <v>351.97375252525262</v>
      </c>
    </row>
    <row r="127" spans="1:27" hidden="1">
      <c r="A127">
        <v>67</v>
      </c>
      <c r="B127">
        <v>0</v>
      </c>
      <c r="C127">
        <v>35.583103000000001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71.442275793650808</v>
      </c>
      <c r="M127">
        <v>67.86</v>
      </c>
      <c r="N127">
        <v>47.12</v>
      </c>
      <c r="O127">
        <v>1.44</v>
      </c>
      <c r="P127">
        <v>27.31</v>
      </c>
      <c r="Q127">
        <v>36.719117192239089</v>
      </c>
      <c r="R127">
        <v>0.23</v>
      </c>
      <c r="S127">
        <v>32.51</v>
      </c>
      <c r="T127">
        <v>3.84</v>
      </c>
      <c r="U127">
        <v>4.8558688032469766</v>
      </c>
      <c r="V127">
        <v>13.68325955566173</v>
      </c>
      <c r="W127">
        <v>72.18944047619047</v>
      </c>
      <c r="X127">
        <v>10.45908874458874</v>
      </c>
      <c r="Y127">
        <v>3.04658722916527</v>
      </c>
      <c r="Z127">
        <v>842.90280447341559</v>
      </c>
      <c r="AA127">
        <v>451.85871965360587</v>
      </c>
    </row>
    <row r="128" spans="1:27" hidden="1">
      <c r="A128">
        <v>50</v>
      </c>
      <c r="B128">
        <v>1</v>
      </c>
      <c r="C128">
        <v>29.352353999999998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62.327918650793663</v>
      </c>
      <c r="M128">
        <v>61.12</v>
      </c>
      <c r="N128">
        <v>119.78</v>
      </c>
      <c r="O128">
        <v>0.51</v>
      </c>
      <c r="P128">
        <v>43.72</v>
      </c>
      <c r="Q128">
        <v>31.35458418800517</v>
      </c>
      <c r="R128">
        <v>0.46</v>
      </c>
      <c r="S128">
        <v>33.35</v>
      </c>
      <c r="T128">
        <v>3.78</v>
      </c>
      <c r="U128">
        <v>7.708351370851374</v>
      </c>
      <c r="V128">
        <v>25.884226880287571</v>
      </c>
      <c r="W128">
        <v>69.016323308270671</v>
      </c>
      <c r="X128">
        <v>13.14530637900971</v>
      </c>
      <c r="Y128">
        <v>12.94153427128427</v>
      </c>
      <c r="Z128">
        <v>1774.305906501995</v>
      </c>
      <c r="AA128">
        <v>1122.6489137806641</v>
      </c>
    </row>
    <row r="129" spans="1:27">
      <c r="A129">
        <v>57</v>
      </c>
      <c r="B129">
        <v>0</v>
      </c>
      <c r="C129">
        <v>23.244595</v>
      </c>
      <c r="D129">
        <v>0</v>
      </c>
      <c r="E129">
        <v>1</v>
      </c>
      <c r="F129">
        <v>1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64.938835069085329</v>
      </c>
      <c r="M129">
        <v>27.71</v>
      </c>
      <c r="N129">
        <v>175.07</v>
      </c>
      <c r="O129">
        <v>0.16</v>
      </c>
      <c r="P129">
        <v>42.66</v>
      </c>
      <c r="Q129">
        <v>27.45136773830086</v>
      </c>
      <c r="R129">
        <v>0.28999999999999998</v>
      </c>
      <c r="S129">
        <v>33.200000000000003</v>
      </c>
      <c r="T129">
        <v>6.79</v>
      </c>
      <c r="U129">
        <v>12.022556832056839</v>
      </c>
      <c r="V129">
        <v>29.164476667537361</v>
      </c>
      <c r="W129">
        <v>65.048975943777734</v>
      </c>
      <c r="X129">
        <v>27.09512601878971</v>
      </c>
      <c r="Y129">
        <v>23.3852557997558</v>
      </c>
      <c r="Z129">
        <v>1899.22690253374</v>
      </c>
      <c r="AA129">
        <v>912.80112409812386</v>
      </c>
    </row>
    <row r="130" spans="1:27" hidden="1">
      <c r="A130">
        <v>69</v>
      </c>
      <c r="B130">
        <v>0</v>
      </c>
      <c r="C130">
        <v>20.3125</v>
      </c>
      <c r="D130">
        <v>0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78.484059446769479</v>
      </c>
      <c r="M130">
        <v>9.2200000000000006</v>
      </c>
      <c r="N130">
        <v>34.78</v>
      </c>
      <c r="O130">
        <v>0.27</v>
      </c>
      <c r="P130">
        <v>22.6</v>
      </c>
      <c r="Q130">
        <v>46.947628975749119</v>
      </c>
      <c r="R130">
        <v>0.24</v>
      </c>
      <c r="S130">
        <v>33.090000000000003</v>
      </c>
      <c r="T130">
        <v>3.83</v>
      </c>
      <c r="U130">
        <v>6.0622820137378968</v>
      </c>
      <c r="V130">
        <v>26.926937450277851</v>
      </c>
      <c r="W130">
        <v>75.285702380952358</v>
      </c>
      <c r="X130">
        <v>15.458629076479079</v>
      </c>
      <c r="Y130">
        <v>11.714499999999999</v>
      </c>
      <c r="Z130">
        <v>730.24344185446535</v>
      </c>
      <c r="AA130">
        <v>358.89126046176051</v>
      </c>
    </row>
    <row r="131" spans="1:27" hidden="1">
      <c r="A131">
        <v>44</v>
      </c>
      <c r="B131">
        <v>0</v>
      </c>
      <c r="C131">
        <v>22.65625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76.804217359934754</v>
      </c>
      <c r="M131">
        <v>18.850000000000001</v>
      </c>
      <c r="N131">
        <v>12.76</v>
      </c>
      <c r="O131">
        <v>1.48</v>
      </c>
      <c r="P131">
        <v>27.96</v>
      </c>
      <c r="Q131">
        <v>54.747211763506087</v>
      </c>
      <c r="R131">
        <v>0.79</v>
      </c>
      <c r="S131">
        <v>28.71</v>
      </c>
      <c r="T131">
        <v>2.8</v>
      </c>
      <c r="U131">
        <v>6.3644234466371961</v>
      </c>
      <c r="V131">
        <v>12.995950619495449</v>
      </c>
      <c r="W131">
        <v>49.769374893901613</v>
      </c>
      <c r="X131">
        <v>9.9191343813843815</v>
      </c>
      <c r="Y131">
        <v>7.4168986772486791</v>
      </c>
      <c r="Z131">
        <v>852.44670959595965</v>
      </c>
      <c r="AA131">
        <v>550.98012422091415</v>
      </c>
    </row>
    <row r="132" spans="1:27" hidden="1">
      <c r="A132">
        <v>47</v>
      </c>
      <c r="B132">
        <v>0</v>
      </c>
      <c r="C132">
        <v>19.473406000000001</v>
      </c>
      <c r="D132">
        <v>0</v>
      </c>
      <c r="E132">
        <v>1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64.920709730744022</v>
      </c>
      <c r="M132">
        <v>43.98</v>
      </c>
      <c r="N132">
        <v>260.95999999999998</v>
      </c>
      <c r="O132">
        <v>0.17</v>
      </c>
      <c r="P132">
        <v>54.37</v>
      </c>
      <c r="Q132">
        <v>22.893499036917081</v>
      </c>
      <c r="R132">
        <v>0.4</v>
      </c>
      <c r="S132">
        <v>31.69</v>
      </c>
      <c r="T132">
        <v>8.6999999999999993</v>
      </c>
      <c r="U132">
        <v>10.424262820512819</v>
      </c>
      <c r="V132">
        <v>30.514715997651692</v>
      </c>
      <c r="W132">
        <v>67.562612369133532</v>
      </c>
      <c r="X132">
        <v>17.316859101570952</v>
      </c>
      <c r="Y132">
        <v>16.499555083805092</v>
      </c>
      <c r="Z132">
        <v>2356.0920138721358</v>
      </c>
      <c r="AA132">
        <v>1143.6355948773451</v>
      </c>
    </row>
    <row r="133" spans="1:27" hidden="1">
      <c r="A133">
        <v>41</v>
      </c>
      <c r="B133">
        <v>1</v>
      </c>
      <c r="C133">
        <v>22.758306999999999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77.908793813972792</v>
      </c>
      <c r="M133">
        <v>109.07</v>
      </c>
      <c r="N133">
        <v>39.46</v>
      </c>
      <c r="O133">
        <v>2.76</v>
      </c>
      <c r="P133">
        <v>48.08</v>
      </c>
      <c r="Q133">
        <v>66.042981710945625</v>
      </c>
      <c r="R133">
        <v>0.3</v>
      </c>
      <c r="S133">
        <v>28.89</v>
      </c>
      <c r="T133">
        <v>7.19</v>
      </c>
      <c r="U133">
        <v>9.0415214414988796</v>
      </c>
      <c r="V133">
        <v>19.12169897500161</v>
      </c>
      <c r="W133">
        <v>55.415992814274013</v>
      </c>
      <c r="X133">
        <v>12.63834023110533</v>
      </c>
      <c r="Y133">
        <v>9.4527592352092356</v>
      </c>
      <c r="Z133">
        <v>2749.5547353757352</v>
      </c>
      <c r="AA133">
        <v>1752.2825987933629</v>
      </c>
    </row>
    <row r="134" spans="1:27" hidden="1">
      <c r="A134">
        <v>58</v>
      </c>
      <c r="B134">
        <v>0</v>
      </c>
      <c r="C134">
        <v>23.634032999999999</v>
      </c>
      <c r="D134">
        <v>0</v>
      </c>
      <c r="E134">
        <v>1</v>
      </c>
      <c r="F134">
        <v>0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64.636585738335739</v>
      </c>
      <c r="M134">
        <v>34.270000000000003</v>
      </c>
      <c r="N134">
        <v>61.61</v>
      </c>
      <c r="O134">
        <v>0.56000000000000005</v>
      </c>
      <c r="P134">
        <v>32.03</v>
      </c>
      <c r="Q134">
        <v>29.67485344181938</v>
      </c>
      <c r="R134">
        <v>0.2</v>
      </c>
      <c r="S134">
        <v>25.69</v>
      </c>
      <c r="T134">
        <v>4.79</v>
      </c>
      <c r="U134">
        <v>8.3894166666666656</v>
      </c>
      <c r="V134">
        <v>27.964826501285319</v>
      </c>
      <c r="W134">
        <v>58.858925115207391</v>
      </c>
      <c r="X134">
        <v>16.675119291587318</v>
      </c>
      <c r="Y134">
        <v>13.795542063492061</v>
      </c>
      <c r="Z134">
        <v>1134.2758164919881</v>
      </c>
      <c r="AA134">
        <v>614.96091698683961</v>
      </c>
    </row>
    <row r="135" spans="1:27" hidden="1">
      <c r="A135">
        <v>48</v>
      </c>
      <c r="B135">
        <v>0</v>
      </c>
      <c r="C135">
        <v>20.829996000000001</v>
      </c>
      <c r="D135">
        <v>0</v>
      </c>
      <c r="E135">
        <v>1</v>
      </c>
      <c r="F135">
        <v>0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68.528347402597404</v>
      </c>
      <c r="M135">
        <v>40.75</v>
      </c>
      <c r="N135">
        <v>49.54</v>
      </c>
      <c r="O135">
        <v>0.82</v>
      </c>
      <c r="P135">
        <v>28.78</v>
      </c>
      <c r="Q135">
        <v>32.54942270956105</v>
      </c>
      <c r="R135">
        <v>0.43</v>
      </c>
      <c r="S135">
        <v>34.57</v>
      </c>
      <c r="T135">
        <v>4.6399999999999997</v>
      </c>
      <c r="U135">
        <v>11.31648931623932</v>
      </c>
      <c r="V135">
        <v>27.168642647614629</v>
      </c>
      <c r="W135">
        <v>71.955121288068653</v>
      </c>
      <c r="X135">
        <v>16.80673384112211</v>
      </c>
      <c r="Y135">
        <v>18.603193362193359</v>
      </c>
      <c r="Z135">
        <v>907.88715620490609</v>
      </c>
      <c r="AA135">
        <v>570.6514264395289</v>
      </c>
    </row>
    <row r="136" spans="1:27">
      <c r="A136">
        <v>46</v>
      </c>
      <c r="B136">
        <v>0</v>
      </c>
      <c r="C136">
        <v>23.124669999999998</v>
      </c>
      <c r="D136">
        <v>0</v>
      </c>
      <c r="E136">
        <v>1</v>
      </c>
      <c r="F136">
        <v>1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69.476173764534906</v>
      </c>
      <c r="M136">
        <v>125.92</v>
      </c>
      <c r="N136">
        <v>85.85</v>
      </c>
      <c r="O136">
        <v>1.47</v>
      </c>
      <c r="P136">
        <v>45.51</v>
      </c>
      <c r="Q136">
        <v>49.874178768728413</v>
      </c>
      <c r="R136">
        <v>0.24</v>
      </c>
      <c r="S136">
        <v>33.17</v>
      </c>
      <c r="T136">
        <v>6.95</v>
      </c>
      <c r="U136">
        <v>11.77286252962724</v>
      </c>
      <c r="V136">
        <v>29.479289320386311</v>
      </c>
      <c r="W136">
        <v>64.342805308857109</v>
      </c>
      <c r="X136">
        <v>27.2850296342809</v>
      </c>
      <c r="Y136">
        <v>21.828081196581198</v>
      </c>
      <c r="Z136">
        <v>2131.8035203685199</v>
      </c>
      <c r="AA136">
        <v>1284.2008601298701</v>
      </c>
    </row>
    <row r="137" spans="1:27" hidden="1">
      <c r="A137">
        <v>24</v>
      </c>
      <c r="B137">
        <v>1</v>
      </c>
      <c r="C137">
        <v>21.366869000000001</v>
      </c>
      <c r="D137">
        <v>0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76.057850640991091</v>
      </c>
      <c r="M137">
        <v>73.09</v>
      </c>
      <c r="N137">
        <v>129.85</v>
      </c>
      <c r="O137">
        <v>0.56000000000000005</v>
      </c>
      <c r="P137">
        <v>42.21</v>
      </c>
      <c r="Q137">
        <v>30.666525293316472</v>
      </c>
      <c r="R137">
        <v>0.7</v>
      </c>
      <c r="S137">
        <v>30.7</v>
      </c>
      <c r="T137">
        <v>10.56</v>
      </c>
      <c r="U137">
        <v>8.7216785893844726</v>
      </c>
      <c r="V137">
        <v>30.62722531070705</v>
      </c>
      <c r="W137">
        <v>62.586982023811039</v>
      </c>
      <c r="X137">
        <v>17.247006049506052</v>
      </c>
      <c r="Y137">
        <v>12.6968507936508</v>
      </c>
      <c r="Z137">
        <v>1866.6875301894181</v>
      </c>
      <c r="AA137">
        <v>943.77909235209256</v>
      </c>
    </row>
    <row r="138" spans="1:27" hidden="1">
      <c r="A138">
        <v>60</v>
      </c>
      <c r="B138">
        <v>0</v>
      </c>
      <c r="C138">
        <v>21.504469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66.764288727013749</v>
      </c>
      <c r="M138">
        <v>63.15</v>
      </c>
      <c r="N138">
        <v>50.86</v>
      </c>
      <c r="O138">
        <v>1.24</v>
      </c>
      <c r="P138">
        <v>40.14</v>
      </c>
      <c r="Q138">
        <v>39.431396954823299</v>
      </c>
      <c r="R138">
        <v>0.64</v>
      </c>
      <c r="S138">
        <v>32.81</v>
      </c>
      <c r="T138">
        <v>7.49</v>
      </c>
      <c r="U138">
        <v>7.3448511390570221</v>
      </c>
      <c r="V138">
        <v>23.5375026834318</v>
      </c>
      <c r="W138">
        <v>62.985614005465102</v>
      </c>
      <c r="X138">
        <v>13.511880205673251</v>
      </c>
      <c r="Y138">
        <v>10.921389663182349</v>
      </c>
      <c r="Z138">
        <v>1545.4670555555549</v>
      </c>
      <c r="AA138">
        <v>1076.370413780664</v>
      </c>
    </row>
    <row r="139" spans="1:27" hidden="1">
      <c r="A139">
        <v>67</v>
      </c>
      <c r="B139">
        <v>0</v>
      </c>
      <c r="C139">
        <v>25.656769000000001</v>
      </c>
      <c r="D139">
        <v>0</v>
      </c>
      <c r="E139">
        <v>1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60.137236536281193</v>
      </c>
      <c r="M139">
        <v>118.48</v>
      </c>
      <c r="N139">
        <v>186.31</v>
      </c>
      <c r="O139">
        <v>0.64</v>
      </c>
      <c r="P139">
        <v>64.86</v>
      </c>
      <c r="Q139">
        <v>32.471523828193533</v>
      </c>
      <c r="R139">
        <v>0.16</v>
      </c>
      <c r="S139">
        <v>30.14</v>
      </c>
      <c r="T139">
        <v>5.05</v>
      </c>
      <c r="U139">
        <v>8.7634841269841282</v>
      </c>
      <c r="V139">
        <v>30.23853512895958</v>
      </c>
      <c r="W139">
        <v>62.626663438932049</v>
      </c>
      <c r="X139">
        <v>16.26296493147375</v>
      </c>
      <c r="Y139">
        <v>14.647547474747469</v>
      </c>
      <c r="Z139">
        <v>4065.6688611111108</v>
      </c>
      <c r="AA139">
        <v>1991.268227076868</v>
      </c>
    </row>
    <row r="140" spans="1:27" hidden="1">
      <c r="A140">
        <v>55</v>
      </c>
      <c r="B140">
        <v>0</v>
      </c>
      <c r="C140">
        <v>28.040379000000001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85.891007936507961</v>
      </c>
      <c r="M140">
        <v>7.42</v>
      </c>
      <c r="N140">
        <v>7.44</v>
      </c>
      <c r="O140">
        <v>1</v>
      </c>
      <c r="P140">
        <v>15.26</v>
      </c>
      <c r="Q140">
        <v>60.88206330688142</v>
      </c>
      <c r="R140">
        <v>0.18</v>
      </c>
      <c r="S140">
        <v>32.81</v>
      </c>
      <c r="T140">
        <v>2.98</v>
      </c>
      <c r="U140">
        <v>9.3144059927001113</v>
      </c>
      <c r="V140">
        <v>23.57608620663374</v>
      </c>
      <c r="W140">
        <v>64.458900189150185</v>
      </c>
      <c r="X140">
        <v>15.84111386923191</v>
      </c>
      <c r="Y140">
        <v>16.422739898989889</v>
      </c>
      <c r="Z140">
        <v>402.56026190476211</v>
      </c>
      <c r="AA140">
        <v>187.89555570818069</v>
      </c>
    </row>
    <row r="141" spans="1:27" hidden="1">
      <c r="A141">
        <v>40</v>
      </c>
      <c r="B141">
        <v>1</v>
      </c>
      <c r="C141">
        <v>34.256053999999999</v>
      </c>
      <c r="D141">
        <v>0</v>
      </c>
      <c r="E141">
        <v>1</v>
      </c>
      <c r="F141">
        <v>0</v>
      </c>
      <c r="G141">
        <v>0</v>
      </c>
      <c r="H141">
        <v>1</v>
      </c>
      <c r="I141">
        <v>1</v>
      </c>
      <c r="J141">
        <v>0</v>
      </c>
      <c r="K141">
        <v>0</v>
      </c>
      <c r="L141">
        <v>76.275922811510725</v>
      </c>
      <c r="M141">
        <v>61.81</v>
      </c>
      <c r="N141">
        <v>110.9</v>
      </c>
      <c r="O141">
        <v>0.56000000000000005</v>
      </c>
      <c r="P141">
        <v>41.63</v>
      </c>
      <c r="Q141">
        <v>31.309223836560111</v>
      </c>
      <c r="R141">
        <v>0.27</v>
      </c>
      <c r="S141">
        <v>33.33</v>
      </c>
      <c r="T141">
        <v>4.17</v>
      </c>
      <c r="U141">
        <v>8.1325122279681121</v>
      </c>
      <c r="V141">
        <v>29.028705159318481</v>
      </c>
      <c r="W141">
        <v>70.175115334012403</v>
      </c>
      <c r="X141">
        <v>14.763442992396319</v>
      </c>
      <c r="Y141">
        <v>13.1768373015873</v>
      </c>
      <c r="Z141">
        <v>1875.9082270148151</v>
      </c>
      <c r="AA141">
        <v>1063.0455566378059</v>
      </c>
    </row>
    <row r="142" spans="1:27" hidden="1">
      <c r="A142">
        <v>60</v>
      </c>
      <c r="B142">
        <v>0</v>
      </c>
      <c r="C142">
        <v>21.499597999999999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71.143555897300942</v>
      </c>
      <c r="M142">
        <v>1761.39</v>
      </c>
      <c r="N142">
        <v>2010.49</v>
      </c>
      <c r="O142">
        <v>0.88</v>
      </c>
      <c r="P142">
        <v>158.71</v>
      </c>
      <c r="Q142">
        <v>26.43737061798144</v>
      </c>
      <c r="R142">
        <v>0.14000000000000001</v>
      </c>
      <c r="S142">
        <v>29.34</v>
      </c>
      <c r="T142">
        <v>10.51</v>
      </c>
      <c r="U142">
        <v>5.7445417637917648</v>
      </c>
      <c r="V142">
        <v>14.855809210234209</v>
      </c>
      <c r="W142">
        <v>52.056801649750057</v>
      </c>
      <c r="X142">
        <v>9.6748106060606052</v>
      </c>
      <c r="Y142">
        <v>2.6834836968586968</v>
      </c>
      <c r="Z142">
        <v>10263.20115079365</v>
      </c>
      <c r="AA142">
        <v>1919.2163798896099</v>
      </c>
    </row>
    <row r="143" spans="1:27" hidden="1">
      <c r="A143">
        <v>57</v>
      </c>
      <c r="B143">
        <v>1</v>
      </c>
      <c r="C143">
        <v>23.198315000000001</v>
      </c>
      <c r="D143">
        <v>0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62.682854548082098</v>
      </c>
      <c r="M143">
        <v>470.89</v>
      </c>
      <c r="N143">
        <v>897.29</v>
      </c>
      <c r="O143">
        <v>0.52</v>
      </c>
      <c r="P143">
        <v>124.96</v>
      </c>
      <c r="Q143">
        <v>37.817172144570009</v>
      </c>
      <c r="R143">
        <v>0.78</v>
      </c>
      <c r="S143">
        <v>24.67</v>
      </c>
      <c r="T143">
        <v>14.25</v>
      </c>
      <c r="U143">
        <v>7.7983020868020843</v>
      </c>
      <c r="V143">
        <v>19.46326214243274</v>
      </c>
      <c r="W143">
        <v>54.577825001173998</v>
      </c>
      <c r="X143">
        <v>14.090541726247601</v>
      </c>
      <c r="Y143">
        <v>9.5437681128050684</v>
      </c>
      <c r="Z143">
        <v>4785.9402380952397</v>
      </c>
      <c r="AA143">
        <v>2229.1393777698408</v>
      </c>
    </row>
    <row r="144" spans="1:27" hidden="1">
      <c r="A144">
        <v>38</v>
      </c>
      <c r="B144">
        <v>0</v>
      </c>
      <c r="C144">
        <v>17.1875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83.315111790170619</v>
      </c>
      <c r="M144">
        <v>1645.93</v>
      </c>
      <c r="N144">
        <v>3123.03</v>
      </c>
      <c r="O144">
        <v>0.53</v>
      </c>
      <c r="P144">
        <v>217.39</v>
      </c>
      <c r="Q144">
        <v>30.896536025205179</v>
      </c>
      <c r="R144">
        <v>0.21</v>
      </c>
      <c r="S144">
        <v>32.130000000000003</v>
      </c>
      <c r="T144">
        <v>48.97</v>
      </c>
      <c r="U144">
        <v>12.39884451985923</v>
      </c>
      <c r="V144">
        <v>33.765422919672908</v>
      </c>
      <c r="W144">
        <v>68.314793402289112</v>
      </c>
      <c r="X144">
        <v>27.014879392913191</v>
      </c>
      <c r="Y144">
        <v>24.074653679653672</v>
      </c>
      <c r="Z144">
        <v>16533.09354365079</v>
      </c>
      <c r="AA144">
        <v>3585.1559800477298</v>
      </c>
    </row>
    <row r="145" spans="1:27" hidden="1">
      <c r="A145">
        <v>55</v>
      </c>
      <c r="B145">
        <v>1</v>
      </c>
      <c r="C145">
        <v>18.778345000000002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80.334674586259609</v>
      </c>
      <c r="M145">
        <v>9.41</v>
      </c>
      <c r="N145">
        <v>11.23</v>
      </c>
      <c r="O145">
        <v>0.84</v>
      </c>
      <c r="P145">
        <v>21.51</v>
      </c>
      <c r="Q145">
        <v>52.139130719305101</v>
      </c>
      <c r="R145">
        <v>0.51</v>
      </c>
      <c r="S145">
        <v>33.75</v>
      </c>
      <c r="T145">
        <v>2.93</v>
      </c>
      <c r="U145">
        <v>7.7856974789915974</v>
      </c>
      <c r="V145">
        <v>15.630150128629539</v>
      </c>
      <c r="W145">
        <v>75.797204648526062</v>
      </c>
      <c r="X145">
        <v>15.57020251800143</v>
      </c>
      <c r="Y145">
        <v>9.2946871693121711</v>
      </c>
      <c r="Z145">
        <v>575.91424831328106</v>
      </c>
      <c r="AA145">
        <v>352.87790962142418</v>
      </c>
    </row>
    <row r="146" spans="1:27" hidden="1">
      <c r="A146">
        <v>64</v>
      </c>
      <c r="B146">
        <v>1</v>
      </c>
      <c r="C146">
        <v>31.644285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61.315703312440817</v>
      </c>
      <c r="M146">
        <v>404.17</v>
      </c>
      <c r="N146">
        <v>765.42</v>
      </c>
      <c r="O146">
        <v>0.53</v>
      </c>
      <c r="P146">
        <v>98.12</v>
      </c>
      <c r="Q146">
        <v>33.754692647444948</v>
      </c>
      <c r="R146">
        <v>0.2</v>
      </c>
      <c r="S146">
        <v>29.93</v>
      </c>
      <c r="T146">
        <v>12.59</v>
      </c>
      <c r="U146">
        <v>4.9954564352056616</v>
      </c>
      <c r="V146">
        <v>14.71854553779554</v>
      </c>
      <c r="W146">
        <v>59.852228209962078</v>
      </c>
      <c r="X146">
        <v>10.22054220779221</v>
      </c>
      <c r="Y146">
        <v>2.2180240725837082</v>
      </c>
      <c r="Z146">
        <v>4766.6095317460322</v>
      </c>
      <c r="AA146">
        <v>2271.6167843975468</v>
      </c>
    </row>
    <row r="147" spans="1:27" hidden="1">
      <c r="A147">
        <v>45</v>
      </c>
      <c r="B147">
        <v>1</v>
      </c>
      <c r="C147">
        <v>32.716050000000003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90.779857864357851</v>
      </c>
      <c r="M147">
        <v>4.91</v>
      </c>
      <c r="N147">
        <v>4.0199999999999996</v>
      </c>
      <c r="O147">
        <v>1.22</v>
      </c>
      <c r="P147">
        <v>11.7</v>
      </c>
      <c r="Q147">
        <v>62.105792752649741</v>
      </c>
      <c r="R147">
        <v>0.25</v>
      </c>
      <c r="S147">
        <v>32.409999999999997</v>
      </c>
      <c r="T147">
        <v>3.07</v>
      </c>
      <c r="U147">
        <v>7.5074657311642587</v>
      </c>
      <c r="V147">
        <v>12.17235714285715</v>
      </c>
      <c r="W147">
        <v>62.887951776451771</v>
      </c>
      <c r="X147">
        <v>13.83466161616162</v>
      </c>
      <c r="Y147">
        <v>8.1735099206349204</v>
      </c>
      <c r="Z147">
        <v>305.85744352869352</v>
      </c>
      <c r="AA147">
        <v>70.194571428571422</v>
      </c>
    </row>
    <row r="148" spans="1:27" hidden="1">
      <c r="A148">
        <v>50</v>
      </c>
      <c r="B148">
        <v>1</v>
      </c>
      <c r="C148">
        <v>25.249338000000002</v>
      </c>
      <c r="D148">
        <v>0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64.599778087968147</v>
      </c>
      <c r="M148">
        <v>905.43</v>
      </c>
      <c r="N148">
        <v>489.24</v>
      </c>
      <c r="O148">
        <v>1.85</v>
      </c>
      <c r="P148">
        <v>110.04</v>
      </c>
      <c r="Q148">
        <v>60.258827869587982</v>
      </c>
      <c r="R148">
        <v>0.31</v>
      </c>
      <c r="S148">
        <v>27.58</v>
      </c>
      <c r="T148">
        <v>21.62</v>
      </c>
      <c r="U148">
        <v>9.9039124470300948</v>
      </c>
      <c r="V148">
        <v>25.236152236652241</v>
      </c>
      <c r="W148">
        <v>57.732348007727047</v>
      </c>
      <c r="X148">
        <v>22.898766455766449</v>
      </c>
      <c r="Y148">
        <v>18.39517857142857</v>
      </c>
      <c r="Z148">
        <v>5118.2558928571434</v>
      </c>
      <c r="AA148">
        <v>2512.425647190476</v>
      </c>
    </row>
    <row r="149" spans="1:27" hidden="1">
      <c r="A149">
        <v>59</v>
      </c>
      <c r="B149">
        <v>1</v>
      </c>
      <c r="C149">
        <v>18.442544999999999</v>
      </c>
      <c r="D149">
        <v>0</v>
      </c>
      <c r="E149">
        <v>1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62.868112220730602</v>
      </c>
      <c r="M149">
        <v>145.1</v>
      </c>
      <c r="N149">
        <v>293.74</v>
      </c>
      <c r="O149">
        <v>0.49</v>
      </c>
      <c r="P149">
        <v>64.61</v>
      </c>
      <c r="Q149">
        <v>29.55084224284937</v>
      </c>
      <c r="R149">
        <v>3.28</v>
      </c>
      <c r="S149">
        <v>33.92</v>
      </c>
      <c r="T149">
        <v>14.77</v>
      </c>
      <c r="U149">
        <v>7.8236517094017097</v>
      </c>
      <c r="V149">
        <v>20.942123278480029</v>
      </c>
      <c r="W149">
        <v>71.862130952380937</v>
      </c>
      <c r="X149">
        <v>14.471612922955959</v>
      </c>
      <c r="Y149">
        <v>9.9358888888888899</v>
      </c>
      <c r="Z149">
        <v>3683.2241706349209</v>
      </c>
      <c r="AA149">
        <v>1648.2928645512261</v>
      </c>
    </row>
    <row r="150" spans="1:27" hidden="1">
      <c r="A150">
        <v>37</v>
      </c>
      <c r="B150">
        <v>1</v>
      </c>
      <c r="C150">
        <v>33.172600000000003</v>
      </c>
      <c r="D150">
        <v>0</v>
      </c>
      <c r="E150">
        <v>1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86.950440476190451</v>
      </c>
      <c r="M150">
        <v>51.33</v>
      </c>
      <c r="N150">
        <v>11.6</v>
      </c>
      <c r="O150">
        <v>4.42</v>
      </c>
      <c r="P150">
        <v>27.23</v>
      </c>
      <c r="Q150">
        <v>76.52637767502695</v>
      </c>
      <c r="R150">
        <v>2.25</v>
      </c>
      <c r="S150">
        <v>32.01</v>
      </c>
      <c r="T150">
        <v>4.99</v>
      </c>
      <c r="U150">
        <v>13.65994749694749</v>
      </c>
      <c r="V150">
        <v>28.797006819775319</v>
      </c>
      <c r="W150">
        <v>71.251860644257718</v>
      </c>
      <c r="X150">
        <v>20.071429282318991</v>
      </c>
      <c r="Y150">
        <v>18.527559523809529</v>
      </c>
      <c r="Z150">
        <v>692.15747346444095</v>
      </c>
      <c r="AA150">
        <v>431.47152250527267</v>
      </c>
    </row>
    <row r="151" spans="1:27" hidden="1">
      <c r="A151">
        <v>69</v>
      </c>
      <c r="B151">
        <v>1</v>
      </c>
      <c r="C151">
        <v>26.015865000000002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62.614145111382662</v>
      </c>
      <c r="M151">
        <v>1940.7</v>
      </c>
      <c r="N151">
        <v>822.29</v>
      </c>
      <c r="O151">
        <v>2.36</v>
      </c>
      <c r="P151">
        <v>165.12</v>
      </c>
      <c r="Q151">
        <v>44.369436314208407</v>
      </c>
      <c r="R151">
        <v>0.17</v>
      </c>
      <c r="S151">
        <v>25.58</v>
      </c>
      <c r="T151">
        <v>17.55</v>
      </c>
      <c r="U151">
        <v>4.8159682539682533</v>
      </c>
      <c r="V151">
        <v>14.37241061716062</v>
      </c>
      <c r="W151">
        <v>61.219650793650807</v>
      </c>
      <c r="X151">
        <v>9.4792406204906214</v>
      </c>
      <c r="Y151">
        <v>2.244949286258922</v>
      </c>
      <c r="Z151">
        <v>5907.7877023809524</v>
      </c>
      <c r="AA151">
        <v>2681.583621421355</v>
      </c>
    </row>
    <row r="152" spans="1:27" hidden="1">
      <c r="A152">
        <v>61</v>
      </c>
      <c r="B152">
        <v>0</v>
      </c>
      <c r="C152">
        <v>21.218316999999999</v>
      </c>
      <c r="D152">
        <v>0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79.62118318414322</v>
      </c>
      <c r="M152">
        <v>16.2</v>
      </c>
      <c r="N152">
        <v>8.7799999999999994</v>
      </c>
      <c r="O152">
        <v>1.85</v>
      </c>
      <c r="P152">
        <v>22.8</v>
      </c>
      <c r="Q152">
        <v>52.485165332885451</v>
      </c>
      <c r="R152">
        <v>0.21</v>
      </c>
      <c r="S152">
        <v>34.159999999999997</v>
      </c>
      <c r="T152">
        <v>2.36</v>
      </c>
      <c r="U152">
        <v>6.8619804264363111</v>
      </c>
      <c r="V152">
        <v>26.97398749368703</v>
      </c>
      <c r="W152">
        <v>69.789722222222238</v>
      </c>
      <c r="X152">
        <v>15.291687662921881</v>
      </c>
      <c r="Y152">
        <v>10.668111111111109</v>
      </c>
      <c r="Z152">
        <v>733.92214233755726</v>
      </c>
      <c r="AA152">
        <v>359.67249062049058</v>
      </c>
    </row>
    <row r="153" spans="1:27">
      <c r="A153">
        <v>29</v>
      </c>
      <c r="B153">
        <v>1</v>
      </c>
      <c r="C153">
        <v>24.302485999999998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73.493365292793129</v>
      </c>
      <c r="M153">
        <v>51.04</v>
      </c>
      <c r="N153">
        <v>142.91</v>
      </c>
      <c r="O153">
        <v>0.36</v>
      </c>
      <c r="P153">
        <v>49.56</v>
      </c>
      <c r="Q153">
        <v>27.210063892149432</v>
      </c>
      <c r="R153">
        <v>0.56999999999999995</v>
      </c>
      <c r="S153">
        <v>30.6</v>
      </c>
      <c r="T153">
        <v>9.17</v>
      </c>
      <c r="U153">
        <v>12.126939309056951</v>
      </c>
      <c r="V153">
        <v>30.453324824010519</v>
      </c>
      <c r="W153">
        <v>60.89933771980693</v>
      </c>
      <c r="X153">
        <v>23.211537449736369</v>
      </c>
      <c r="Y153">
        <v>18.76164841269841</v>
      </c>
      <c r="Z153">
        <v>2177.8278966727712</v>
      </c>
      <c r="AA153">
        <v>1119.095858225108</v>
      </c>
    </row>
    <row r="154" spans="1:27" hidden="1">
      <c r="A154">
        <v>68</v>
      </c>
      <c r="B154">
        <v>0</v>
      </c>
      <c r="C154">
        <v>22.761467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62.309175420557622</v>
      </c>
      <c r="M154">
        <v>413.46</v>
      </c>
      <c r="N154">
        <v>633.24</v>
      </c>
      <c r="O154">
        <v>0.65</v>
      </c>
      <c r="P154">
        <v>102.81</v>
      </c>
      <c r="Q154">
        <v>37.385700618057761</v>
      </c>
      <c r="R154">
        <v>0.47</v>
      </c>
      <c r="S154">
        <v>31.89</v>
      </c>
      <c r="T154">
        <v>18.78</v>
      </c>
      <c r="U154">
        <v>8.3365367361396761</v>
      </c>
      <c r="V154">
        <v>28.775370496949439</v>
      </c>
      <c r="W154">
        <v>67.508259489302972</v>
      </c>
      <c r="X154">
        <v>15.89824849853321</v>
      </c>
      <c r="Y154">
        <v>14.014376984126979</v>
      </c>
      <c r="Z154">
        <v>4596.2654841269859</v>
      </c>
      <c r="AA154">
        <v>2214.67473452381</v>
      </c>
    </row>
    <row r="155" spans="1:27">
      <c r="A155">
        <v>22</v>
      </c>
      <c r="B155">
        <v>1</v>
      </c>
      <c r="C155">
        <v>26.446280999999999</v>
      </c>
      <c r="D155">
        <v>0</v>
      </c>
      <c r="E155">
        <v>1</v>
      </c>
      <c r="F155">
        <v>1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84.182028820796091</v>
      </c>
      <c r="M155">
        <v>142.72999999999999</v>
      </c>
      <c r="N155">
        <v>28.46</v>
      </c>
      <c r="O155">
        <v>5.0199999999999996</v>
      </c>
      <c r="P155">
        <v>45.28</v>
      </c>
      <c r="Q155">
        <v>74.908039436287396</v>
      </c>
      <c r="R155">
        <v>1.31</v>
      </c>
      <c r="S155">
        <v>33.020000000000003</v>
      </c>
      <c r="T155">
        <v>10.62</v>
      </c>
      <c r="U155">
        <v>12.32051495726496</v>
      </c>
      <c r="V155">
        <v>30.239797055726179</v>
      </c>
      <c r="W155">
        <v>68.59698600668338</v>
      </c>
      <c r="X155">
        <v>24.990379120879119</v>
      </c>
      <c r="Y155">
        <v>18.69214957264958</v>
      </c>
      <c r="Z155">
        <v>1770.4281902597399</v>
      </c>
      <c r="AA155">
        <v>1106.7478477633481</v>
      </c>
    </row>
    <row r="156" spans="1:27">
      <c r="A156">
        <v>21</v>
      </c>
      <c r="B156">
        <v>1</v>
      </c>
      <c r="C156">
        <v>23.4375</v>
      </c>
      <c r="D156">
        <v>0</v>
      </c>
      <c r="E156">
        <v>1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69.72020141035658</v>
      </c>
      <c r="M156">
        <v>173.95</v>
      </c>
      <c r="N156">
        <v>227.86</v>
      </c>
      <c r="O156">
        <v>0.76</v>
      </c>
      <c r="P156">
        <v>54.44</v>
      </c>
      <c r="Q156">
        <v>39.282214107469073</v>
      </c>
      <c r="R156">
        <v>0.27</v>
      </c>
      <c r="S156">
        <v>31.98</v>
      </c>
      <c r="T156">
        <v>5.51</v>
      </c>
      <c r="U156">
        <v>11.060169719169719</v>
      </c>
      <c r="V156">
        <v>32.131513030687479</v>
      </c>
      <c r="W156">
        <v>67.026670335039896</v>
      </c>
      <c r="X156">
        <v>25.31169071416673</v>
      </c>
      <c r="Y156">
        <v>18.98453499278499</v>
      </c>
      <c r="Z156">
        <v>3257.0924933093638</v>
      </c>
      <c r="AA156">
        <v>1721.0733539249641</v>
      </c>
    </row>
    <row r="157" spans="1:27" hidden="1">
      <c r="A157">
        <v>58</v>
      </c>
      <c r="B157">
        <v>0</v>
      </c>
      <c r="C157">
        <v>19.628264999999999</v>
      </c>
      <c r="D157">
        <v>0</v>
      </c>
      <c r="E157">
        <v>1</v>
      </c>
      <c r="F157">
        <v>0</v>
      </c>
      <c r="G157">
        <v>1</v>
      </c>
      <c r="H157">
        <v>1</v>
      </c>
      <c r="I157">
        <v>0</v>
      </c>
      <c r="J157">
        <v>0</v>
      </c>
      <c r="K157">
        <v>0</v>
      </c>
      <c r="L157">
        <v>68.512528545528568</v>
      </c>
      <c r="M157">
        <v>141.35</v>
      </c>
      <c r="N157">
        <v>39.340000000000003</v>
      </c>
      <c r="O157">
        <v>3.59</v>
      </c>
      <c r="P157">
        <v>44.39</v>
      </c>
      <c r="Q157">
        <v>71.285273547587124</v>
      </c>
      <c r="R157">
        <v>0.68</v>
      </c>
      <c r="S157">
        <v>30.37</v>
      </c>
      <c r="T157">
        <v>3.99</v>
      </c>
      <c r="U157">
        <v>8.8124404761904795</v>
      </c>
      <c r="V157">
        <v>27.88204225764899</v>
      </c>
      <c r="W157">
        <v>63.72021670328273</v>
      </c>
      <c r="X157">
        <v>14.0930437100898</v>
      </c>
      <c r="Y157">
        <v>13.06668924963925</v>
      </c>
      <c r="Z157">
        <v>1869.030485714286</v>
      </c>
      <c r="AA157">
        <v>1199.6489469042069</v>
      </c>
    </row>
    <row r="158" spans="1:27" hidden="1">
      <c r="A158">
        <v>35</v>
      </c>
      <c r="B158">
        <v>0</v>
      </c>
      <c r="C158">
        <v>19.227688000000001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72.97079152067009</v>
      </c>
      <c r="M158">
        <v>106.72</v>
      </c>
      <c r="N158">
        <v>223.75</v>
      </c>
      <c r="O158">
        <v>0.48</v>
      </c>
      <c r="P158">
        <v>53.58</v>
      </c>
      <c r="Q158">
        <v>31.15232567402073</v>
      </c>
      <c r="R158">
        <v>0.24</v>
      </c>
      <c r="S158">
        <v>32.549999999999997</v>
      </c>
      <c r="T158">
        <v>7.25</v>
      </c>
      <c r="U158">
        <v>10.83477258852259</v>
      </c>
      <c r="V158">
        <v>31.539305244661989</v>
      </c>
      <c r="W158">
        <v>68.636594344037434</v>
      </c>
      <c r="X158">
        <v>22.271755565742509</v>
      </c>
      <c r="Y158">
        <v>18.101417277167279</v>
      </c>
      <c r="Z158">
        <v>3162.2857407628908</v>
      </c>
      <c r="AA158">
        <v>1414.8137770562771</v>
      </c>
    </row>
    <row r="159" spans="1:27" hidden="1">
      <c r="A159">
        <v>47</v>
      </c>
      <c r="B159">
        <v>1</v>
      </c>
      <c r="C159">
        <v>23.355637000000002</v>
      </c>
      <c r="D159">
        <v>0</v>
      </c>
      <c r="E159">
        <v>1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66.608395711501004</v>
      </c>
      <c r="M159">
        <v>45.75</v>
      </c>
      <c r="N159">
        <v>60.73</v>
      </c>
      <c r="O159">
        <v>0.75</v>
      </c>
      <c r="P159">
        <v>31.34</v>
      </c>
      <c r="Q159">
        <v>30.091222636649359</v>
      </c>
      <c r="R159">
        <v>0.15</v>
      </c>
      <c r="S159">
        <v>30.27</v>
      </c>
      <c r="T159">
        <v>4.67</v>
      </c>
      <c r="U159">
        <v>7.9732182719241562</v>
      </c>
      <c r="V159">
        <v>29.244925628522619</v>
      </c>
      <c r="W159">
        <v>61.379127276945411</v>
      </c>
      <c r="X159">
        <v>13.757656437284769</v>
      </c>
      <c r="Y159">
        <v>10.71849841269842</v>
      </c>
      <c r="Z159">
        <v>1117.5656656983369</v>
      </c>
      <c r="AA159">
        <v>607.5773610083354</v>
      </c>
    </row>
    <row r="160" spans="1:27" hidden="1">
      <c r="A160">
        <v>57</v>
      </c>
      <c r="B160">
        <v>0</v>
      </c>
      <c r="C160">
        <v>26.897670000000002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75.846152873270498</v>
      </c>
      <c r="M160">
        <v>17.59</v>
      </c>
      <c r="N160">
        <v>42.29</v>
      </c>
      <c r="O160">
        <v>0.42</v>
      </c>
      <c r="P160">
        <v>24.18</v>
      </c>
      <c r="Q160">
        <v>43.432998049930177</v>
      </c>
      <c r="R160">
        <v>0.39</v>
      </c>
      <c r="S160">
        <v>34</v>
      </c>
      <c r="T160">
        <v>3.31</v>
      </c>
      <c r="U160">
        <v>10.14751443001443</v>
      </c>
      <c r="V160">
        <v>24.510456461982258</v>
      </c>
      <c r="W160">
        <v>64.211062526812555</v>
      </c>
      <c r="X160">
        <v>15.992375663870019</v>
      </c>
      <c r="Y160">
        <v>16.53466847041847</v>
      </c>
      <c r="Z160">
        <v>601.29084940932876</v>
      </c>
      <c r="AA160">
        <v>411.46257072275557</v>
      </c>
    </row>
    <row r="161" spans="1:27" hidden="1">
      <c r="A161">
        <v>67</v>
      </c>
      <c r="B161">
        <v>0</v>
      </c>
      <c r="C161">
        <v>23.495236999999999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65.92650919913423</v>
      </c>
      <c r="M161">
        <v>63.42</v>
      </c>
      <c r="N161">
        <v>62.33</v>
      </c>
      <c r="O161">
        <v>1.02</v>
      </c>
      <c r="P161">
        <v>28.86</v>
      </c>
      <c r="Q161">
        <v>35.54340368719317</v>
      </c>
      <c r="R161">
        <v>0.43</v>
      </c>
      <c r="S161">
        <v>32.729999999999997</v>
      </c>
      <c r="T161">
        <v>4.8899999999999997</v>
      </c>
      <c r="U161">
        <v>6.2659874292374296</v>
      </c>
      <c r="V161">
        <v>25.665139089641961</v>
      </c>
      <c r="W161">
        <v>72.140773809523807</v>
      </c>
      <c r="X161">
        <v>13.706014085776619</v>
      </c>
      <c r="Y161">
        <v>12.640511904761899</v>
      </c>
      <c r="Z161">
        <v>892.44873556998562</v>
      </c>
      <c r="AA161">
        <v>575.78707326492577</v>
      </c>
    </row>
    <row r="162" spans="1:27" hidden="1">
      <c r="A162">
        <v>30</v>
      </c>
      <c r="B162">
        <v>1</v>
      </c>
      <c r="C162">
        <v>20.902386</v>
      </c>
      <c r="D162">
        <v>0</v>
      </c>
      <c r="E162">
        <v>1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71.530030740459765</v>
      </c>
      <c r="M162">
        <v>445.62</v>
      </c>
      <c r="N162">
        <v>180.56</v>
      </c>
      <c r="O162">
        <v>2.4700000000000002</v>
      </c>
      <c r="P162">
        <v>72.48</v>
      </c>
      <c r="Q162">
        <v>65.56720309142348</v>
      </c>
      <c r="R162">
        <v>0.09</v>
      </c>
      <c r="S162">
        <v>28.59</v>
      </c>
      <c r="T162">
        <v>5.34</v>
      </c>
      <c r="U162">
        <v>12.437640774258419</v>
      </c>
      <c r="V162">
        <v>33.0112412629815</v>
      </c>
      <c r="W162">
        <v>59.27584242199778</v>
      </c>
      <c r="X162">
        <v>22.499505016722409</v>
      </c>
      <c r="Y162">
        <v>20.036271506271511</v>
      </c>
      <c r="Z162">
        <v>4524.9459563492073</v>
      </c>
      <c r="AA162">
        <v>2203.9812318950489</v>
      </c>
    </row>
    <row r="163" spans="1:27" hidden="1">
      <c r="A163">
        <v>41</v>
      </c>
      <c r="B163">
        <v>0</v>
      </c>
      <c r="C163">
        <v>22.598611999999999</v>
      </c>
      <c r="D163">
        <v>0</v>
      </c>
      <c r="E163">
        <v>1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70.968736953165958</v>
      </c>
      <c r="M163">
        <v>364.84</v>
      </c>
      <c r="N163">
        <v>154.04</v>
      </c>
      <c r="O163">
        <v>2.37</v>
      </c>
      <c r="P163">
        <v>62.52</v>
      </c>
      <c r="Q163">
        <v>60.962652916730313</v>
      </c>
      <c r="R163">
        <v>0.37</v>
      </c>
      <c r="S163">
        <v>32.25</v>
      </c>
      <c r="T163">
        <v>11.63</v>
      </c>
      <c r="U163">
        <v>11.52532284708755</v>
      </c>
      <c r="V163">
        <v>31.84993588769904</v>
      </c>
      <c r="W163">
        <v>67.701563192182761</v>
      </c>
      <c r="X163">
        <v>22.585863204981099</v>
      </c>
      <c r="Y163">
        <v>20.19352272727274</v>
      </c>
      <c r="Z163">
        <v>3801.8910833333339</v>
      </c>
      <c r="AA163">
        <v>2009.791355841159</v>
      </c>
    </row>
    <row r="164" spans="1:27" hidden="1">
      <c r="A164">
        <v>29</v>
      </c>
      <c r="B164">
        <v>0</v>
      </c>
      <c r="C164">
        <v>17.850622000000001</v>
      </c>
      <c r="D164">
        <v>0</v>
      </c>
      <c r="E164">
        <v>1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77.899712633857376</v>
      </c>
      <c r="M164">
        <v>82.89</v>
      </c>
      <c r="N164">
        <v>53.83</v>
      </c>
      <c r="O164">
        <v>1.54</v>
      </c>
      <c r="P164">
        <v>48.88</v>
      </c>
      <c r="Q164">
        <v>43.684709992477003</v>
      </c>
      <c r="R164">
        <v>0.22</v>
      </c>
      <c r="S164">
        <v>26.9</v>
      </c>
      <c r="T164">
        <v>7.09</v>
      </c>
      <c r="U164">
        <v>12.707153488668199</v>
      </c>
      <c r="V164">
        <v>30.619742063492058</v>
      </c>
      <c r="W164">
        <v>59.830327339327368</v>
      </c>
      <c r="X164">
        <v>30.734078428978432</v>
      </c>
      <c r="Y164">
        <v>21.944702380952371</v>
      </c>
      <c r="Z164">
        <v>2792.4570244477741</v>
      </c>
      <c r="AA164">
        <v>1723.047521062271</v>
      </c>
    </row>
    <row r="165" spans="1:27" hidden="1">
      <c r="A165">
        <v>46</v>
      </c>
      <c r="B165">
        <v>0</v>
      </c>
      <c r="C165">
        <v>25.81663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78.119739326033454</v>
      </c>
      <c r="M165">
        <v>16.88</v>
      </c>
      <c r="N165">
        <v>11.75</v>
      </c>
      <c r="O165">
        <v>1.44</v>
      </c>
      <c r="P165">
        <v>26.06</v>
      </c>
      <c r="Q165">
        <v>55.577673158917243</v>
      </c>
      <c r="R165">
        <v>0.73</v>
      </c>
      <c r="S165">
        <v>32.46</v>
      </c>
      <c r="T165">
        <v>4.4000000000000004</v>
      </c>
      <c r="U165">
        <v>11.10398567608862</v>
      </c>
      <c r="V165">
        <v>25.074579483826259</v>
      </c>
      <c r="W165">
        <v>64.321189628110673</v>
      </c>
      <c r="X165">
        <v>16.537290768115621</v>
      </c>
      <c r="Y165">
        <v>17.031367965367959</v>
      </c>
      <c r="Z165">
        <v>688.62835369532138</v>
      </c>
      <c r="AA165">
        <v>437.7597569930071</v>
      </c>
    </row>
    <row r="166" spans="1:27" hidden="1">
      <c r="A166">
        <v>51</v>
      </c>
      <c r="B166">
        <v>0</v>
      </c>
      <c r="C166">
        <v>21.192743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71.252900852368271</v>
      </c>
      <c r="M166">
        <v>34.97</v>
      </c>
      <c r="N166">
        <v>52.56</v>
      </c>
      <c r="O166">
        <v>0.67</v>
      </c>
      <c r="P166">
        <v>27.56</v>
      </c>
      <c r="Q166">
        <v>35.722458873872</v>
      </c>
      <c r="R166">
        <v>1.32</v>
      </c>
      <c r="S166">
        <v>28.74</v>
      </c>
      <c r="T166">
        <v>6.31</v>
      </c>
      <c r="U166">
        <v>4.24632170965178</v>
      </c>
      <c r="V166">
        <v>15.975142958855431</v>
      </c>
      <c r="W166">
        <v>48.30439256613213</v>
      </c>
      <c r="X166">
        <v>3.7620897557345669</v>
      </c>
      <c r="Y166">
        <v>5.3299363202290042</v>
      </c>
      <c r="Z166">
        <v>846.42103712953713</v>
      </c>
      <c r="AA166">
        <v>522.58853254321866</v>
      </c>
    </row>
    <row r="167" spans="1:27">
      <c r="A167">
        <v>67</v>
      </c>
      <c r="B167">
        <v>0</v>
      </c>
      <c r="C167">
        <v>21.829951999999999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</v>
      </c>
      <c r="J167">
        <v>0</v>
      </c>
      <c r="K167">
        <v>1</v>
      </c>
      <c r="L167">
        <v>65.525883126987964</v>
      </c>
      <c r="M167">
        <v>571.74</v>
      </c>
      <c r="N167">
        <v>197.03</v>
      </c>
      <c r="O167">
        <v>2.9</v>
      </c>
      <c r="P167">
        <v>77.099999999999994</v>
      </c>
      <c r="Q167">
        <v>62.752578389421707</v>
      </c>
      <c r="R167">
        <v>0.24</v>
      </c>
      <c r="S167">
        <v>33.18</v>
      </c>
      <c r="T167">
        <v>7.19</v>
      </c>
      <c r="U167">
        <v>10.920263181263181</v>
      </c>
      <c r="V167">
        <v>26.436732720495879</v>
      </c>
      <c r="W167">
        <v>68.577551587301599</v>
      </c>
      <c r="X167">
        <v>25.877928981646381</v>
      </c>
      <c r="Y167">
        <v>21.537150072150069</v>
      </c>
      <c r="Z167">
        <v>4918.8184603174614</v>
      </c>
      <c r="AA167">
        <v>2511.6777822056279</v>
      </c>
    </row>
    <row r="168" spans="1:27">
      <c r="A168">
        <v>57</v>
      </c>
      <c r="B168">
        <v>0</v>
      </c>
      <c r="C168">
        <v>17.527816999999999</v>
      </c>
      <c r="D168">
        <v>0</v>
      </c>
      <c r="E168">
        <v>1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0</v>
      </c>
      <c r="L168">
        <v>87.896659245516403</v>
      </c>
      <c r="M168">
        <v>3599.86</v>
      </c>
      <c r="N168">
        <v>5299.74</v>
      </c>
      <c r="O168">
        <v>0.68</v>
      </c>
      <c r="P168">
        <v>291.64</v>
      </c>
      <c r="Q168">
        <v>22.36541301133585</v>
      </c>
      <c r="R168">
        <v>0.17</v>
      </c>
      <c r="S168">
        <v>24.86</v>
      </c>
      <c r="T168">
        <v>52.29</v>
      </c>
      <c r="U168">
        <v>11.92893834270305</v>
      </c>
      <c r="V168">
        <v>29.11554365079364</v>
      </c>
      <c r="W168">
        <v>59.218748376623388</v>
      </c>
      <c r="X168">
        <v>31.34958725071224</v>
      </c>
      <c r="Y168">
        <v>25.016244949494951</v>
      </c>
      <c r="Z168">
        <v>22120.418222222219</v>
      </c>
      <c r="AA168">
        <v>6193.3795032467542</v>
      </c>
    </row>
    <row r="169" spans="1:27" hidden="1">
      <c r="A169">
        <v>32</v>
      </c>
      <c r="B169">
        <v>0</v>
      </c>
      <c r="C169">
        <v>38.103946999999998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84.057785505430232</v>
      </c>
      <c r="M169">
        <v>22.69</v>
      </c>
      <c r="N169">
        <v>29.71</v>
      </c>
      <c r="O169">
        <v>0.76</v>
      </c>
      <c r="P169">
        <v>52.24</v>
      </c>
      <c r="Q169">
        <v>53.251372401198338</v>
      </c>
      <c r="R169">
        <v>0.27</v>
      </c>
      <c r="S169">
        <v>31.59</v>
      </c>
      <c r="T169">
        <v>6.78</v>
      </c>
      <c r="U169">
        <v>5.5034485733564678</v>
      </c>
      <c r="V169">
        <v>13.061997895760481</v>
      </c>
      <c r="W169">
        <v>57.315459837384843</v>
      </c>
      <c r="X169">
        <v>11.86284271284271</v>
      </c>
      <c r="Y169">
        <v>4.3004511774774929</v>
      </c>
      <c r="Z169">
        <v>2361.710225250627</v>
      </c>
      <c r="AA169">
        <v>1198.5781121933619</v>
      </c>
    </row>
    <row r="170" spans="1:27" hidden="1">
      <c r="A170">
        <v>33</v>
      </c>
      <c r="B170">
        <v>0</v>
      </c>
      <c r="C170">
        <v>22.222221000000001</v>
      </c>
      <c r="D170">
        <v>0</v>
      </c>
      <c r="E170">
        <v>1</v>
      </c>
      <c r="F170">
        <v>0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79.277385910686121</v>
      </c>
      <c r="M170">
        <v>600.22</v>
      </c>
      <c r="N170">
        <v>2246.42</v>
      </c>
      <c r="O170">
        <v>0.27</v>
      </c>
      <c r="P170">
        <v>204.49</v>
      </c>
      <c r="Q170">
        <v>31.386156579065268</v>
      </c>
      <c r="R170">
        <v>0.49</v>
      </c>
      <c r="S170">
        <v>25.13</v>
      </c>
      <c r="T170">
        <v>33.119999999999997</v>
      </c>
      <c r="U170">
        <v>13.42359884233413</v>
      </c>
      <c r="V170">
        <v>32.601722582972577</v>
      </c>
      <c r="W170">
        <v>59.77094775152387</v>
      </c>
      <c r="X170">
        <v>24.307182710360131</v>
      </c>
      <c r="Y170">
        <v>22.87542826617825</v>
      </c>
      <c r="Z170">
        <v>14929.401305555561</v>
      </c>
      <c r="AA170">
        <v>2347.098587301587</v>
      </c>
    </row>
    <row r="171" spans="1:27" hidden="1">
      <c r="A171">
        <v>46</v>
      </c>
      <c r="B171">
        <v>1</v>
      </c>
      <c r="C171">
        <v>26.093274999999998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66.289876529509144</v>
      </c>
      <c r="M171">
        <v>992.08</v>
      </c>
      <c r="N171">
        <v>1570.62</v>
      </c>
      <c r="O171">
        <v>0.63</v>
      </c>
      <c r="P171">
        <v>141.28</v>
      </c>
      <c r="Q171">
        <v>28.73344456769717</v>
      </c>
      <c r="R171">
        <v>0.64</v>
      </c>
      <c r="S171">
        <v>29.32</v>
      </c>
      <c r="T171">
        <v>13.52</v>
      </c>
      <c r="U171">
        <v>3.5564830767059008</v>
      </c>
      <c r="V171">
        <v>11.41230216239699</v>
      </c>
      <c r="W171">
        <v>49.972296904935519</v>
      </c>
      <c r="X171">
        <v>7.4880487102523707</v>
      </c>
      <c r="Y171">
        <v>1.692663211222847</v>
      </c>
      <c r="Z171">
        <v>9467.3516984126982</v>
      </c>
      <c r="AA171">
        <v>1981.0046786905859</v>
      </c>
    </row>
    <row r="172" spans="1:27" hidden="1">
      <c r="A172">
        <v>50</v>
      </c>
      <c r="B172">
        <v>1</v>
      </c>
      <c r="C172">
        <v>26.027581999999999</v>
      </c>
      <c r="D172">
        <v>0</v>
      </c>
      <c r="E172">
        <v>1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72.112679426285567</v>
      </c>
      <c r="M172">
        <v>1430.8</v>
      </c>
      <c r="N172">
        <v>2033.43</v>
      </c>
      <c r="O172">
        <v>0.7</v>
      </c>
      <c r="P172">
        <v>172.86</v>
      </c>
      <c r="Q172">
        <v>25.85413274690529</v>
      </c>
      <c r="R172">
        <v>0.19</v>
      </c>
      <c r="S172">
        <v>33.409999999999997</v>
      </c>
      <c r="T172">
        <v>24.13</v>
      </c>
      <c r="U172">
        <v>11.57442968469439</v>
      </c>
      <c r="V172">
        <v>32.879457437786392</v>
      </c>
      <c r="W172">
        <v>70.144519374416404</v>
      </c>
      <c r="X172">
        <v>25.166882032086889</v>
      </c>
      <c r="Y172">
        <v>25.388391774891769</v>
      </c>
      <c r="Z172">
        <v>10748.38488888889</v>
      </c>
      <c r="AA172">
        <v>1959.1266150793649</v>
      </c>
    </row>
    <row r="173" spans="1:27" hidden="1">
      <c r="A173">
        <v>50</v>
      </c>
      <c r="B173">
        <v>0</v>
      </c>
      <c r="C173">
        <v>17.898023999999999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82.849848800113833</v>
      </c>
      <c r="M173">
        <v>931.77</v>
      </c>
      <c r="N173">
        <v>1492.16</v>
      </c>
      <c r="O173">
        <v>0.62</v>
      </c>
      <c r="P173">
        <v>173.58</v>
      </c>
      <c r="Q173">
        <v>25.204222351134032</v>
      </c>
      <c r="R173">
        <v>7.0000000000000007E-2</v>
      </c>
      <c r="S173">
        <v>23.27</v>
      </c>
      <c r="T173">
        <v>29.29</v>
      </c>
      <c r="U173">
        <v>11.646177045177049</v>
      </c>
      <c r="V173">
        <v>31.062626984126979</v>
      </c>
      <c r="W173">
        <v>60.401182169438762</v>
      </c>
      <c r="X173">
        <v>20.862372710622711</v>
      </c>
      <c r="Y173">
        <v>17.38693253968254</v>
      </c>
      <c r="Z173">
        <v>14181.77899603175</v>
      </c>
      <c r="AA173">
        <v>2065.717666666666</v>
      </c>
    </row>
    <row r="174" spans="1:27" hidden="1">
      <c r="A174">
        <v>51</v>
      </c>
      <c r="B174">
        <v>1</v>
      </c>
      <c r="C174">
        <v>23.301093999999999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70.355605699855687</v>
      </c>
      <c r="M174">
        <v>219.27</v>
      </c>
      <c r="N174">
        <v>29.91</v>
      </c>
      <c r="O174">
        <v>7.33</v>
      </c>
      <c r="P174">
        <v>71.14</v>
      </c>
      <c r="Q174">
        <v>73.434707557857791</v>
      </c>
      <c r="R174">
        <v>0.3</v>
      </c>
      <c r="S174">
        <v>24.29</v>
      </c>
      <c r="T174">
        <v>12.51</v>
      </c>
      <c r="U174">
        <v>4.9171292857469346</v>
      </c>
      <c r="V174">
        <v>19.964571872571881</v>
      </c>
      <c r="W174">
        <v>50.588441725775773</v>
      </c>
      <c r="X174">
        <v>9.7562207792207776</v>
      </c>
      <c r="Y174">
        <v>1.9983630050505039</v>
      </c>
      <c r="Z174">
        <v>4136.7599960317466</v>
      </c>
      <c r="AA174">
        <v>2010.7790192307691</v>
      </c>
    </row>
    <row r="175" spans="1:27" hidden="1">
      <c r="A175">
        <v>43</v>
      </c>
      <c r="B175">
        <v>1</v>
      </c>
      <c r="C175">
        <v>24.337479999999999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78.974595615040258</v>
      </c>
      <c r="M175">
        <v>22.91</v>
      </c>
      <c r="N175">
        <v>28.08</v>
      </c>
      <c r="O175">
        <v>0.82</v>
      </c>
      <c r="P175">
        <v>26.5</v>
      </c>
      <c r="Q175">
        <v>50.470706638488117</v>
      </c>
      <c r="R175">
        <v>0.46</v>
      </c>
      <c r="S175">
        <v>32.21</v>
      </c>
      <c r="T175">
        <v>3.25</v>
      </c>
      <c r="U175">
        <v>6.8665082664067976</v>
      </c>
      <c r="V175">
        <v>13.37943998732157</v>
      </c>
      <c r="W175">
        <v>61.221239775489792</v>
      </c>
      <c r="X175">
        <v>12.614707887142099</v>
      </c>
      <c r="Y175">
        <v>6.7048614433473128</v>
      </c>
      <c r="Z175">
        <v>692.88913383849456</v>
      </c>
      <c r="AA175">
        <v>456.689583413035</v>
      </c>
    </row>
    <row r="176" spans="1:27" hidden="1">
      <c r="A176">
        <v>28</v>
      </c>
      <c r="B176">
        <v>0</v>
      </c>
      <c r="C176">
        <v>20.429418999999999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68.575411856231796</v>
      </c>
      <c r="M176">
        <v>1161.51</v>
      </c>
      <c r="N176">
        <v>811.13</v>
      </c>
      <c r="O176">
        <v>1.43</v>
      </c>
      <c r="P176">
        <v>126.02</v>
      </c>
      <c r="Q176">
        <v>42.331708781580843</v>
      </c>
      <c r="R176">
        <v>0.2</v>
      </c>
      <c r="S176">
        <v>30.64</v>
      </c>
      <c r="T176">
        <v>17.16</v>
      </c>
      <c r="U176">
        <v>11.118348954966599</v>
      </c>
      <c r="V176">
        <v>30.314177375256321</v>
      </c>
      <c r="W176">
        <v>61.780906888739437</v>
      </c>
      <c r="X176">
        <v>21.080129531096929</v>
      </c>
      <c r="Y176">
        <v>18.676886904761911</v>
      </c>
      <c r="Z176">
        <v>5383.7478174603184</v>
      </c>
      <c r="AA176">
        <v>2151.6024233175708</v>
      </c>
    </row>
    <row r="177" spans="1:27">
      <c r="A177">
        <v>31</v>
      </c>
      <c r="B177">
        <v>0</v>
      </c>
      <c r="C177">
        <v>22.13674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67.266759565147609</v>
      </c>
      <c r="M177">
        <v>192.71</v>
      </c>
      <c r="N177">
        <v>498.58</v>
      </c>
      <c r="O177">
        <v>0.39</v>
      </c>
      <c r="P177">
        <v>71.400000000000006</v>
      </c>
      <c r="Q177">
        <v>27.714382375963691</v>
      </c>
      <c r="R177">
        <v>0.48</v>
      </c>
      <c r="S177">
        <v>32.520000000000003</v>
      </c>
      <c r="T177">
        <v>10.83</v>
      </c>
      <c r="U177">
        <v>13.07100624212389</v>
      </c>
      <c r="V177">
        <v>27.754927736006689</v>
      </c>
      <c r="W177">
        <v>63.254685393106577</v>
      </c>
      <c r="X177">
        <v>24.244420008354211</v>
      </c>
      <c r="Y177">
        <v>20.347005799755799</v>
      </c>
      <c r="Z177">
        <v>3945.7978253968258</v>
      </c>
      <c r="AA177">
        <v>1823.9036430519479</v>
      </c>
    </row>
    <row r="178" spans="1:27">
      <c r="A178">
        <v>31</v>
      </c>
      <c r="B178">
        <v>0</v>
      </c>
      <c r="C178">
        <v>20.703125</v>
      </c>
      <c r="D178">
        <v>0</v>
      </c>
      <c r="E178">
        <v>1</v>
      </c>
      <c r="F178">
        <v>1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83.798164253217109</v>
      </c>
      <c r="M178">
        <v>51.44</v>
      </c>
      <c r="N178">
        <v>72.8</v>
      </c>
      <c r="O178">
        <v>0.71</v>
      </c>
      <c r="P178">
        <v>39.53</v>
      </c>
      <c r="Q178">
        <v>35.756243602064643</v>
      </c>
      <c r="R178">
        <v>0.15</v>
      </c>
      <c r="S178">
        <v>31.62</v>
      </c>
      <c r="T178">
        <v>6.59</v>
      </c>
      <c r="U178">
        <v>12.00906887883359</v>
      </c>
      <c r="V178">
        <v>30.072489765409109</v>
      </c>
      <c r="W178">
        <v>68.816802492828799</v>
      </c>
      <c r="X178">
        <v>30.03885795019157</v>
      </c>
      <c r="Y178">
        <v>22.623795482295481</v>
      </c>
      <c r="Z178">
        <v>1720.723543650794</v>
      </c>
      <c r="AA178">
        <v>1083.484256854257</v>
      </c>
    </row>
    <row r="179" spans="1:27" hidden="1">
      <c r="A179">
        <v>33</v>
      </c>
      <c r="B179">
        <v>0</v>
      </c>
      <c r="C179">
        <v>18.75</v>
      </c>
      <c r="D179">
        <v>0</v>
      </c>
      <c r="E179">
        <v>0</v>
      </c>
      <c r="F179">
        <v>0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88.733792537295074</v>
      </c>
      <c r="M179">
        <v>46.49</v>
      </c>
      <c r="N179">
        <v>14.05</v>
      </c>
      <c r="O179">
        <v>3.31</v>
      </c>
      <c r="P179">
        <v>31.08</v>
      </c>
      <c r="Q179">
        <v>68.007157832422166</v>
      </c>
      <c r="R179">
        <v>0.5</v>
      </c>
      <c r="S179">
        <v>32.5</v>
      </c>
      <c r="T179">
        <v>6.22</v>
      </c>
      <c r="U179">
        <v>11.12962554112554</v>
      </c>
      <c r="V179">
        <v>23.706082950387071</v>
      </c>
      <c r="W179">
        <v>60.728655843626449</v>
      </c>
      <c r="X179">
        <v>15.688336843617339</v>
      </c>
      <c r="Y179">
        <v>16.195351100288601</v>
      </c>
      <c r="Z179">
        <v>983.58173621115725</v>
      </c>
      <c r="AA179">
        <v>603.02618307382124</v>
      </c>
    </row>
    <row r="180" spans="1:27">
      <c r="A180">
        <v>41</v>
      </c>
      <c r="B180">
        <v>1</v>
      </c>
      <c r="C180">
        <v>31.652183999999998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79.972222943722912</v>
      </c>
      <c r="M180">
        <v>225.04</v>
      </c>
      <c r="N180">
        <v>35.28</v>
      </c>
      <c r="O180">
        <v>6.38</v>
      </c>
      <c r="P180">
        <v>54.1</v>
      </c>
      <c r="Q180">
        <v>74.551676378923688</v>
      </c>
      <c r="R180">
        <v>0.16</v>
      </c>
      <c r="S180">
        <v>33.340000000000003</v>
      </c>
      <c r="T180">
        <v>6.26</v>
      </c>
      <c r="U180">
        <v>11.6826451914099</v>
      </c>
      <c r="V180">
        <v>28.09453028404344</v>
      </c>
      <c r="W180">
        <v>66.79506087530946</v>
      </c>
      <c r="X180">
        <v>25.269286097044709</v>
      </c>
      <c r="Y180">
        <v>20.079856421356421</v>
      </c>
      <c r="Z180">
        <v>3333.591858908635</v>
      </c>
      <c r="AA180">
        <v>1851.8721382783881</v>
      </c>
    </row>
    <row r="181" spans="1:27">
      <c r="A181">
        <v>38</v>
      </c>
      <c r="B181">
        <v>0</v>
      </c>
      <c r="C181">
        <v>19.227688000000001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79.990542901450596</v>
      </c>
      <c r="M181">
        <v>57.17</v>
      </c>
      <c r="N181">
        <v>92.26</v>
      </c>
      <c r="O181">
        <v>0.62</v>
      </c>
      <c r="P181">
        <v>42.41</v>
      </c>
      <c r="Q181">
        <v>30.213803869972541</v>
      </c>
      <c r="R181">
        <v>0.26</v>
      </c>
      <c r="S181">
        <v>30.71</v>
      </c>
      <c r="T181">
        <v>10.28</v>
      </c>
      <c r="U181">
        <v>11.180108417726069</v>
      </c>
      <c r="V181">
        <v>22.847809064915811</v>
      </c>
      <c r="W181">
        <v>58.225858670817708</v>
      </c>
      <c r="X181">
        <v>25.781071107255318</v>
      </c>
      <c r="Y181">
        <v>18.957211066711071</v>
      </c>
      <c r="Z181">
        <v>1904.8399257882641</v>
      </c>
      <c r="AA181">
        <v>1020.831554473305</v>
      </c>
    </row>
    <row r="182" spans="1:27" hidden="1">
      <c r="A182">
        <v>38</v>
      </c>
      <c r="B182">
        <v>0</v>
      </c>
      <c r="C182">
        <v>24.776793999999999</v>
      </c>
      <c r="D182">
        <v>0</v>
      </c>
      <c r="E182">
        <v>1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72.375309872768128</v>
      </c>
      <c r="M182">
        <v>80.680000000000007</v>
      </c>
      <c r="N182">
        <v>214.84</v>
      </c>
      <c r="O182">
        <v>0.38</v>
      </c>
      <c r="P182">
        <v>51.76</v>
      </c>
      <c r="Q182">
        <v>28.283748455590821</v>
      </c>
      <c r="R182">
        <v>0.73</v>
      </c>
      <c r="S182">
        <v>32.74</v>
      </c>
      <c r="T182">
        <v>9.85</v>
      </c>
      <c r="U182">
        <v>13.33122704582998</v>
      </c>
      <c r="V182">
        <v>30.2466194653875</v>
      </c>
      <c r="W182">
        <v>68.69275235269545</v>
      </c>
      <c r="X182">
        <v>20.61511438416867</v>
      </c>
      <c r="Y182">
        <v>19.367378427128429</v>
      </c>
      <c r="Z182">
        <v>2546.1468372636132</v>
      </c>
      <c r="AA182">
        <v>1243.6578250360751</v>
      </c>
    </row>
    <row r="183" spans="1:27">
      <c r="A183">
        <v>29</v>
      </c>
      <c r="B183">
        <v>1</v>
      </c>
      <c r="C183">
        <v>25.099499999999999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76.244451111384137</v>
      </c>
      <c r="M183">
        <v>76.75</v>
      </c>
      <c r="N183">
        <v>123.8</v>
      </c>
      <c r="O183">
        <v>0.62</v>
      </c>
      <c r="P183">
        <v>41.1</v>
      </c>
      <c r="Q183">
        <v>33.256377767946809</v>
      </c>
      <c r="R183">
        <v>1</v>
      </c>
      <c r="S183">
        <v>1</v>
      </c>
      <c r="T183">
        <v>11.22</v>
      </c>
      <c r="U183">
        <v>10.89714962651728</v>
      </c>
      <c r="V183">
        <v>21.19293722943722</v>
      </c>
      <c r="W183">
        <v>53.459785949976649</v>
      </c>
      <c r="X183">
        <v>22.145253635253638</v>
      </c>
      <c r="Y183">
        <v>18.055084920634918</v>
      </c>
      <c r="Z183">
        <v>1920.2809394005781</v>
      </c>
      <c r="AA183">
        <v>935.2807124819625</v>
      </c>
    </row>
    <row r="184" spans="1:27" hidden="1">
      <c r="A184">
        <v>41</v>
      </c>
      <c r="B184">
        <v>1</v>
      </c>
      <c r="C184">
        <v>26.149277000000001</v>
      </c>
      <c r="D184">
        <v>0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69.819079142262979</v>
      </c>
      <c r="M184">
        <v>1056.6300000000001</v>
      </c>
      <c r="N184">
        <v>1298.45</v>
      </c>
      <c r="O184">
        <v>0.81</v>
      </c>
      <c r="P184">
        <v>184.28</v>
      </c>
      <c r="Q184">
        <v>29.2070541352908</v>
      </c>
      <c r="R184">
        <v>0.37</v>
      </c>
      <c r="S184">
        <v>33.130000000000003</v>
      </c>
      <c r="T184">
        <v>24.48</v>
      </c>
      <c r="U184">
        <v>10.04396504884005</v>
      </c>
      <c r="V184">
        <v>26.020372180451119</v>
      </c>
      <c r="W184">
        <v>64.126549932523616</v>
      </c>
      <c r="X184">
        <v>15.048059793670831</v>
      </c>
      <c r="Y184">
        <v>12.01377115668884</v>
      </c>
      <c r="Z184">
        <v>5770.880849206349</v>
      </c>
      <c r="AA184">
        <v>2079.779408189866</v>
      </c>
    </row>
    <row r="185" spans="1:27">
      <c r="A185">
        <v>48</v>
      </c>
      <c r="B185">
        <v>1</v>
      </c>
      <c r="C185">
        <v>25.057359999999999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62.906392311392302</v>
      </c>
      <c r="M185">
        <v>314.77</v>
      </c>
      <c r="N185">
        <v>363.68</v>
      </c>
      <c r="O185">
        <v>0.87</v>
      </c>
      <c r="P185">
        <v>77.56</v>
      </c>
      <c r="Q185">
        <v>38.819213203212897</v>
      </c>
      <c r="R185">
        <v>0.56999999999999995</v>
      </c>
      <c r="S185">
        <v>32.31</v>
      </c>
      <c r="T185">
        <v>4.46</v>
      </c>
      <c r="U185">
        <v>11.576410173160181</v>
      </c>
      <c r="V185">
        <v>27.041628313207269</v>
      </c>
      <c r="W185">
        <v>69.576500541125512</v>
      </c>
      <c r="X185">
        <v>24.84179330319084</v>
      </c>
      <c r="Y185">
        <v>21.905066738816739</v>
      </c>
      <c r="Z185">
        <v>4390.7994484126993</v>
      </c>
      <c r="AA185">
        <v>2287.5438784242428</v>
      </c>
    </row>
    <row r="186" spans="1:27">
      <c r="A186">
        <v>55</v>
      </c>
      <c r="B186">
        <v>0</v>
      </c>
      <c r="C186">
        <v>20.202020000000001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</v>
      </c>
      <c r="J186">
        <v>0</v>
      </c>
      <c r="K186">
        <v>1</v>
      </c>
      <c r="L186">
        <v>69.881469470616537</v>
      </c>
      <c r="M186">
        <v>14.16</v>
      </c>
      <c r="N186">
        <v>11.03</v>
      </c>
      <c r="O186">
        <v>1.28</v>
      </c>
      <c r="P186">
        <v>30.64</v>
      </c>
      <c r="Q186">
        <v>55.735015612051363</v>
      </c>
      <c r="R186">
        <v>0.32</v>
      </c>
      <c r="S186">
        <v>26.56</v>
      </c>
      <c r="T186">
        <v>4.6900000000000004</v>
      </c>
      <c r="U186">
        <v>10.72382667169432</v>
      </c>
      <c r="V186">
        <v>19.039531385281389</v>
      </c>
      <c r="W186">
        <v>54.307305346087603</v>
      </c>
      <c r="X186">
        <v>25.714400167084381</v>
      </c>
      <c r="Y186">
        <v>21.050257936507929</v>
      </c>
      <c r="Z186">
        <v>1132.382957365003</v>
      </c>
      <c r="AA186">
        <v>605.23138487335916</v>
      </c>
    </row>
    <row r="187" spans="1:27">
      <c r="A187">
        <v>27</v>
      </c>
      <c r="B187">
        <v>1</v>
      </c>
      <c r="C187">
        <v>23.040019999999998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68.657556976385536</v>
      </c>
      <c r="M187">
        <v>129.4</v>
      </c>
      <c r="N187">
        <v>193.17</v>
      </c>
      <c r="O187">
        <v>0.67</v>
      </c>
      <c r="P187">
        <v>118.94</v>
      </c>
      <c r="Q187">
        <v>35.391433898809979</v>
      </c>
      <c r="R187">
        <v>0.19</v>
      </c>
      <c r="S187">
        <v>27.06</v>
      </c>
      <c r="T187">
        <v>6.55</v>
      </c>
      <c r="U187">
        <v>10.78287276449041</v>
      </c>
      <c r="V187">
        <v>20.096356782106781</v>
      </c>
      <c r="W187">
        <v>54.535118641662997</v>
      </c>
      <c r="X187">
        <v>22.643797725081939</v>
      </c>
      <c r="Y187">
        <v>16.850781746031739</v>
      </c>
      <c r="Z187">
        <v>4675.9926666666679</v>
      </c>
      <c r="AA187">
        <v>2190.4898522626258</v>
      </c>
    </row>
    <row r="188" spans="1:27" hidden="1">
      <c r="A188">
        <v>57</v>
      </c>
      <c r="B188">
        <v>0</v>
      </c>
      <c r="C188">
        <v>25.636917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70.954876984126983</v>
      </c>
      <c r="M188">
        <v>50.06</v>
      </c>
      <c r="N188">
        <v>33.56</v>
      </c>
      <c r="O188">
        <v>1.49</v>
      </c>
      <c r="P188">
        <v>28.24</v>
      </c>
      <c r="Q188">
        <v>59.178354521148883</v>
      </c>
      <c r="R188">
        <v>0.45</v>
      </c>
      <c r="S188">
        <v>32.840000000000003</v>
      </c>
      <c r="T188">
        <v>3.04</v>
      </c>
      <c r="U188">
        <v>4.8316506394663126</v>
      </c>
      <c r="V188">
        <v>12.29036446224913</v>
      </c>
      <c r="W188">
        <v>62.529296278373877</v>
      </c>
      <c r="X188">
        <v>9.7196394161394171</v>
      </c>
      <c r="Y188">
        <v>3.5328346987468842</v>
      </c>
      <c r="Z188">
        <v>853.75225321900336</v>
      </c>
      <c r="AA188">
        <v>573.06662097416086</v>
      </c>
    </row>
    <row r="189" spans="1:27" hidden="1">
      <c r="A189">
        <v>38</v>
      </c>
      <c r="B189">
        <v>0</v>
      </c>
      <c r="C189">
        <v>24.653032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86.306430771786239</v>
      </c>
      <c r="M189">
        <v>24.83</v>
      </c>
      <c r="N189">
        <v>27.61</v>
      </c>
      <c r="O189">
        <v>0.9</v>
      </c>
      <c r="P189">
        <v>30.28</v>
      </c>
      <c r="Q189">
        <v>49.199591857234807</v>
      </c>
      <c r="R189">
        <v>0.14000000000000001</v>
      </c>
      <c r="S189">
        <v>29.59</v>
      </c>
      <c r="T189">
        <v>3.13</v>
      </c>
      <c r="U189">
        <v>9.4860333000333004</v>
      </c>
      <c r="V189">
        <v>19.810895629224571</v>
      </c>
      <c r="W189">
        <v>52.376740906602983</v>
      </c>
      <c r="X189">
        <v>16.42812816049619</v>
      </c>
      <c r="Y189">
        <v>14.76622857142857</v>
      </c>
      <c r="Z189">
        <v>1081.6200173160171</v>
      </c>
      <c r="AA189">
        <v>570.8622439900339</v>
      </c>
    </row>
    <row r="190" spans="1:27" hidden="1">
      <c r="A190">
        <v>42</v>
      </c>
      <c r="B190">
        <v>0</v>
      </c>
      <c r="C190">
        <v>21.936347999999999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73.679754039361626</v>
      </c>
      <c r="M190">
        <v>10.41</v>
      </c>
      <c r="N190">
        <v>63.94</v>
      </c>
      <c r="O190">
        <v>0.16</v>
      </c>
      <c r="P190">
        <v>31.37</v>
      </c>
      <c r="Q190">
        <v>32.12879887465887</v>
      </c>
      <c r="R190">
        <v>0.83</v>
      </c>
      <c r="S190">
        <v>28.99</v>
      </c>
      <c r="T190">
        <v>7.7</v>
      </c>
      <c r="U190">
        <v>9.7109502295090504</v>
      </c>
      <c r="V190">
        <v>17.84547655122655</v>
      </c>
      <c r="W190">
        <v>47.701345193973587</v>
      </c>
      <c r="X190">
        <v>13.12295669526552</v>
      </c>
      <c r="Y190">
        <v>13.22534157509158</v>
      </c>
      <c r="Z190">
        <v>948.84130872197977</v>
      </c>
      <c r="AA190">
        <v>541.84001028337127</v>
      </c>
    </row>
    <row r="191" spans="1:27" hidden="1">
      <c r="A191">
        <v>23</v>
      </c>
      <c r="B191">
        <v>0</v>
      </c>
      <c r="C191">
        <v>16.796875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71.120533908987468</v>
      </c>
      <c r="M191">
        <v>545.97</v>
      </c>
      <c r="N191">
        <v>604.67999999999995</v>
      </c>
      <c r="O191">
        <v>0.9</v>
      </c>
      <c r="P191">
        <v>144.4</v>
      </c>
      <c r="Q191">
        <v>48.509467463936701</v>
      </c>
      <c r="R191">
        <v>0.16</v>
      </c>
      <c r="S191">
        <v>24.22</v>
      </c>
      <c r="T191">
        <v>13.44</v>
      </c>
      <c r="U191">
        <v>10.4603778998779</v>
      </c>
      <c r="V191">
        <v>21.898761544011538</v>
      </c>
      <c r="W191">
        <v>56.17737797655559</v>
      </c>
      <c r="X191">
        <v>25.684658730158731</v>
      </c>
      <c r="Y191">
        <v>17.852090187590189</v>
      </c>
      <c r="Z191">
        <v>5017.1101547619064</v>
      </c>
      <c r="AA191">
        <v>2409.0625778340541</v>
      </c>
    </row>
    <row r="192" spans="1:27" hidden="1">
      <c r="A192">
        <v>21</v>
      </c>
      <c r="B192">
        <v>0</v>
      </c>
      <c r="C192">
        <v>31.245236999999999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80.155670693821236</v>
      </c>
      <c r="M192">
        <v>40.06</v>
      </c>
      <c r="N192">
        <v>133.12</v>
      </c>
      <c r="O192">
        <v>0.3</v>
      </c>
      <c r="P192">
        <v>42.84</v>
      </c>
      <c r="Q192">
        <v>26.82214610051787</v>
      </c>
      <c r="R192">
        <v>1.29</v>
      </c>
      <c r="S192">
        <v>29.82</v>
      </c>
      <c r="T192">
        <v>10.34</v>
      </c>
      <c r="U192">
        <v>12.080681372549019</v>
      </c>
      <c r="V192">
        <v>17.895186602870812</v>
      </c>
      <c r="W192">
        <v>50.262214959890507</v>
      </c>
      <c r="X192">
        <v>18.618194040599921</v>
      </c>
      <c r="Y192">
        <v>16.981029365079369</v>
      </c>
      <c r="Z192">
        <v>1803.0906067184451</v>
      </c>
      <c r="AA192">
        <v>930.6835317460318</v>
      </c>
    </row>
    <row r="193" spans="1:27" hidden="1">
      <c r="A193">
        <v>39</v>
      </c>
      <c r="B193">
        <v>0</v>
      </c>
      <c r="C193">
        <v>19.879103000000001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76.304275848255699</v>
      </c>
      <c r="M193">
        <v>59.39</v>
      </c>
      <c r="N193">
        <v>106.34</v>
      </c>
      <c r="O193">
        <v>0.56000000000000005</v>
      </c>
      <c r="P193">
        <v>50.12</v>
      </c>
      <c r="Q193">
        <v>32.044816649132692</v>
      </c>
      <c r="R193">
        <v>1.42</v>
      </c>
      <c r="S193">
        <v>31.23</v>
      </c>
      <c r="T193">
        <v>8.2799999999999994</v>
      </c>
      <c r="U193">
        <v>2.9313316030374859</v>
      </c>
      <c r="V193">
        <v>14.07409592976409</v>
      </c>
      <c r="W193">
        <v>51.933390786391158</v>
      </c>
      <c r="X193">
        <v>2.5964555078999911</v>
      </c>
      <c r="Y193">
        <v>2.0237099131552001</v>
      </c>
      <c r="Z193">
        <v>2186.0857226800981</v>
      </c>
      <c r="AA193">
        <v>1177.4578152680649</v>
      </c>
    </row>
    <row r="194" spans="1:27" hidden="1">
      <c r="A194">
        <v>51</v>
      </c>
      <c r="B194">
        <v>0</v>
      </c>
      <c r="C194">
        <v>24.302485999999998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68.518957671957679</v>
      </c>
      <c r="M194">
        <v>23.15</v>
      </c>
      <c r="N194">
        <v>43.93</v>
      </c>
      <c r="O194">
        <v>0.53</v>
      </c>
      <c r="P194">
        <v>34.270000000000003</v>
      </c>
      <c r="Q194">
        <v>40.311843150139673</v>
      </c>
      <c r="R194">
        <v>0.36</v>
      </c>
      <c r="S194">
        <v>25.56</v>
      </c>
      <c r="T194">
        <v>3.36</v>
      </c>
      <c r="U194">
        <v>5.3456527900204378</v>
      </c>
      <c r="V194">
        <v>14.58369652569653</v>
      </c>
      <c r="W194">
        <v>53.717084366105183</v>
      </c>
      <c r="X194">
        <v>10.302783189033191</v>
      </c>
      <c r="Y194">
        <v>5.3849103535353544</v>
      </c>
      <c r="Z194">
        <v>1217.186686507936</v>
      </c>
      <c r="AA194">
        <v>730.90704022366538</v>
      </c>
    </row>
    <row r="195" spans="1:27" hidden="1">
      <c r="A195">
        <v>51</v>
      </c>
      <c r="B195">
        <v>1</v>
      </c>
      <c r="C195">
        <v>23.875114</v>
      </c>
      <c r="D195">
        <v>0</v>
      </c>
      <c r="E195">
        <v>1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61.262145639481851</v>
      </c>
      <c r="M195">
        <v>50.05</v>
      </c>
      <c r="N195">
        <v>132.47999999999999</v>
      </c>
      <c r="O195">
        <v>0.38</v>
      </c>
      <c r="P195">
        <v>53.01</v>
      </c>
      <c r="Q195">
        <v>27.56229011345388</v>
      </c>
      <c r="R195">
        <v>0.96</v>
      </c>
      <c r="S195">
        <v>21.06</v>
      </c>
      <c r="T195">
        <v>4.3099999999999996</v>
      </c>
      <c r="U195">
        <v>9.6220436507936498</v>
      </c>
      <c r="V195">
        <v>20.793309691482222</v>
      </c>
      <c r="W195">
        <v>56.184260962327379</v>
      </c>
      <c r="X195">
        <v>13.36217250445633</v>
      </c>
      <c r="Y195">
        <v>12.27804386724387</v>
      </c>
      <c r="Z195">
        <v>2355.3695544733041</v>
      </c>
      <c r="AA195">
        <v>1232.5509110644259</v>
      </c>
    </row>
    <row r="196" spans="1:27">
      <c r="A196">
        <v>56</v>
      </c>
      <c r="B196">
        <v>1</v>
      </c>
      <c r="C196">
        <v>21.718064999999999</v>
      </c>
      <c r="D196">
        <v>0</v>
      </c>
      <c r="E196">
        <v>0</v>
      </c>
      <c r="F196">
        <v>1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66.496813627387397</v>
      </c>
      <c r="M196">
        <v>40.770000000000003</v>
      </c>
      <c r="N196">
        <v>85.94</v>
      </c>
      <c r="O196">
        <v>0.47</v>
      </c>
      <c r="P196">
        <v>35.119999999999997</v>
      </c>
      <c r="Q196">
        <v>34.321804135168101</v>
      </c>
      <c r="R196">
        <v>0.85</v>
      </c>
      <c r="S196">
        <v>31.26</v>
      </c>
      <c r="T196">
        <v>6.41</v>
      </c>
      <c r="U196">
        <v>12.81376462263227</v>
      </c>
      <c r="V196">
        <v>20.292174337358539</v>
      </c>
      <c r="W196">
        <v>53.469835538710257</v>
      </c>
      <c r="X196">
        <v>22.68742260843732</v>
      </c>
      <c r="Y196">
        <v>20.888152380952381</v>
      </c>
      <c r="Z196">
        <v>1273.941761904762</v>
      </c>
      <c r="AA196">
        <v>734.83170472582947</v>
      </c>
    </row>
    <row r="197" spans="1:27" hidden="1">
      <c r="A197">
        <v>52</v>
      </c>
      <c r="B197">
        <v>0</v>
      </c>
      <c r="C197">
        <v>24.088222999999999</v>
      </c>
      <c r="D197">
        <v>0</v>
      </c>
      <c r="E197">
        <v>1</v>
      </c>
      <c r="F197">
        <v>0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65.568064654314895</v>
      </c>
      <c r="M197">
        <v>39.01</v>
      </c>
      <c r="N197">
        <v>133.51</v>
      </c>
      <c r="O197">
        <v>0.28999999999999998</v>
      </c>
      <c r="P197">
        <v>40.32</v>
      </c>
      <c r="Q197">
        <v>29.245967569000609</v>
      </c>
      <c r="R197">
        <v>1.44</v>
      </c>
      <c r="S197">
        <v>33.5</v>
      </c>
      <c r="T197">
        <v>8.01</v>
      </c>
      <c r="U197">
        <v>13.308749023851959</v>
      </c>
      <c r="V197">
        <v>28.921235807378849</v>
      </c>
      <c r="W197">
        <v>71.361787593984943</v>
      </c>
      <c r="X197">
        <v>18.844917426141109</v>
      </c>
      <c r="Y197">
        <v>18.997207792207789</v>
      </c>
      <c r="Z197">
        <v>1552.641904761904</v>
      </c>
      <c r="AA197">
        <v>1001.770079365079</v>
      </c>
    </row>
    <row r="198" spans="1:27">
      <c r="A198">
        <v>37</v>
      </c>
      <c r="B198">
        <v>1</v>
      </c>
      <c r="C198">
        <v>25.605536000000001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1</v>
      </c>
      <c r="J198">
        <v>0</v>
      </c>
      <c r="K198">
        <v>0</v>
      </c>
      <c r="L198">
        <v>87.474620915032688</v>
      </c>
      <c r="M198">
        <v>12.82</v>
      </c>
      <c r="N198">
        <v>9.1199999999999992</v>
      </c>
      <c r="O198">
        <v>1.41</v>
      </c>
      <c r="P198">
        <v>19.89</v>
      </c>
      <c r="Q198">
        <v>53.549482823387777</v>
      </c>
      <c r="R198">
        <v>0.18</v>
      </c>
      <c r="S198">
        <v>30.59</v>
      </c>
      <c r="T198">
        <v>2.95</v>
      </c>
      <c r="U198">
        <v>10.557622932622939</v>
      </c>
      <c r="V198">
        <v>27.52058474975729</v>
      </c>
      <c r="W198">
        <v>59.792368506493517</v>
      </c>
      <c r="X198">
        <v>24.45554699248121</v>
      </c>
      <c r="Y198">
        <v>19.07925074925075</v>
      </c>
      <c r="Z198">
        <v>530.25210786435798</v>
      </c>
      <c r="AA198">
        <v>230.09449510212011</v>
      </c>
    </row>
    <row r="199" spans="1:27" hidden="1">
      <c r="A199">
        <v>58</v>
      </c>
      <c r="B199">
        <v>0</v>
      </c>
      <c r="C199">
        <v>21.829951999999999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80.726773569788605</v>
      </c>
      <c r="M199">
        <v>770.91</v>
      </c>
      <c r="N199">
        <v>1173.9100000000001</v>
      </c>
      <c r="O199">
        <v>0.66</v>
      </c>
      <c r="P199">
        <v>365.67</v>
      </c>
      <c r="Q199">
        <v>27.26636326023301</v>
      </c>
      <c r="R199">
        <v>0.45</v>
      </c>
      <c r="S199">
        <v>30.91</v>
      </c>
      <c r="T199">
        <v>45.25</v>
      </c>
      <c r="U199">
        <v>10.46028793428794</v>
      </c>
      <c r="V199">
        <v>25.14014166097062</v>
      </c>
      <c r="W199">
        <v>61.126127315654678</v>
      </c>
      <c r="X199">
        <v>14.382927273311489</v>
      </c>
      <c r="Y199">
        <v>11.22253705219901</v>
      </c>
      <c r="Z199">
        <v>10776.425595238101</v>
      </c>
      <c r="AA199">
        <v>5756.0827124134203</v>
      </c>
    </row>
    <row r="200" spans="1:27">
      <c r="A200">
        <v>40</v>
      </c>
      <c r="B200">
        <v>0</v>
      </c>
      <c r="C200">
        <v>20.451843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87.085522438026615</v>
      </c>
      <c r="M200">
        <v>29.48</v>
      </c>
      <c r="N200">
        <v>16.5</v>
      </c>
      <c r="O200">
        <v>1.79</v>
      </c>
      <c r="P200">
        <v>27.64</v>
      </c>
      <c r="Q200">
        <v>57.823440662125307</v>
      </c>
      <c r="R200">
        <v>0.27</v>
      </c>
      <c r="S200">
        <v>31.16</v>
      </c>
      <c r="T200">
        <v>5.42</v>
      </c>
      <c r="U200">
        <v>11.15479609279609</v>
      </c>
      <c r="V200">
        <v>25.464964024722089</v>
      </c>
      <c r="W200">
        <v>61.636229479960278</v>
      </c>
      <c r="X200">
        <v>30.423934259259259</v>
      </c>
      <c r="Y200">
        <v>23.516176434676439</v>
      </c>
      <c r="Z200">
        <v>1006.758207431457</v>
      </c>
      <c r="AA200">
        <v>539.57550043963568</v>
      </c>
    </row>
    <row r="201" spans="1:27" hidden="1">
      <c r="A201">
        <v>63</v>
      </c>
      <c r="B201">
        <v>0</v>
      </c>
      <c r="C201">
        <v>24.21875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90.342134920634905</v>
      </c>
      <c r="M201">
        <v>8.52</v>
      </c>
      <c r="N201">
        <v>11.22</v>
      </c>
      <c r="O201">
        <v>0.76</v>
      </c>
      <c r="P201">
        <v>14.02</v>
      </c>
      <c r="Q201">
        <v>58.591842552128149</v>
      </c>
      <c r="R201">
        <v>0.83</v>
      </c>
      <c r="S201">
        <v>32.9</v>
      </c>
      <c r="T201">
        <v>5.09</v>
      </c>
      <c r="U201">
        <v>7.0855245032745016</v>
      </c>
      <c r="V201">
        <v>15.133454427778659</v>
      </c>
      <c r="W201">
        <v>68.371816822066833</v>
      </c>
      <c r="X201">
        <v>13.080226632775551</v>
      </c>
      <c r="Y201">
        <v>8.7366624440374459</v>
      </c>
      <c r="Z201">
        <v>237.55332539682539</v>
      </c>
      <c r="AA201">
        <v>154.85766804029311</v>
      </c>
    </row>
    <row r="202" spans="1:27">
      <c r="A202">
        <v>23</v>
      </c>
      <c r="B202">
        <v>0</v>
      </c>
      <c r="C202">
        <v>22.832879999999999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72.617427095285379</v>
      </c>
      <c r="M202">
        <v>82.3</v>
      </c>
      <c r="N202">
        <v>293.79000000000002</v>
      </c>
      <c r="O202">
        <v>0.28000000000000003</v>
      </c>
      <c r="P202">
        <v>55.64</v>
      </c>
      <c r="Q202">
        <v>24.20048952846496</v>
      </c>
      <c r="R202">
        <v>0.56999999999999995</v>
      </c>
      <c r="S202">
        <v>22.85</v>
      </c>
      <c r="T202">
        <v>12.05</v>
      </c>
      <c r="U202">
        <v>13.74589530077766</v>
      </c>
      <c r="V202">
        <v>22.999878594801139</v>
      </c>
      <c r="W202">
        <v>58.237807598136627</v>
      </c>
      <c r="X202">
        <v>24.170177944862161</v>
      </c>
      <c r="Y202">
        <v>20.42554981684982</v>
      </c>
      <c r="Z202">
        <v>2782.7727548913508</v>
      </c>
      <c r="AA202">
        <v>1143.2917691197699</v>
      </c>
    </row>
    <row r="203" spans="1:27" hidden="1">
      <c r="A203">
        <v>30</v>
      </c>
      <c r="B203">
        <v>1</v>
      </c>
      <c r="C203">
        <v>22.675737000000002</v>
      </c>
      <c r="D203">
        <v>0</v>
      </c>
      <c r="E203">
        <v>1</v>
      </c>
      <c r="F203">
        <v>0</v>
      </c>
      <c r="G203">
        <v>1</v>
      </c>
      <c r="H203">
        <v>1</v>
      </c>
      <c r="I203">
        <v>0</v>
      </c>
      <c r="J203">
        <v>0</v>
      </c>
      <c r="K203">
        <v>0</v>
      </c>
      <c r="L203">
        <v>87.778188050455284</v>
      </c>
      <c r="M203">
        <v>138.58000000000001</v>
      </c>
      <c r="N203">
        <v>40.04</v>
      </c>
      <c r="O203">
        <v>3.46</v>
      </c>
      <c r="P203">
        <v>39.74</v>
      </c>
      <c r="Q203">
        <v>73.78617675524815</v>
      </c>
      <c r="R203">
        <v>1.89</v>
      </c>
      <c r="S203">
        <v>29.08</v>
      </c>
      <c r="T203">
        <v>8.0399999999999991</v>
      </c>
      <c r="U203">
        <v>11.76337484737485</v>
      </c>
      <c r="V203">
        <v>27.304096067143611</v>
      </c>
      <c r="W203">
        <v>55.067241669620699</v>
      </c>
      <c r="X203">
        <v>16.730576509454181</v>
      </c>
      <c r="Y203">
        <v>17.467659645909649</v>
      </c>
      <c r="Z203">
        <v>1578.8104007936499</v>
      </c>
      <c r="AA203">
        <v>1065.760641944657</v>
      </c>
    </row>
    <row r="204" spans="1:27">
      <c r="A204">
        <v>30</v>
      </c>
      <c r="B204">
        <v>1</v>
      </c>
      <c r="C204">
        <v>21.977350000000001</v>
      </c>
      <c r="D204">
        <v>0</v>
      </c>
      <c r="E204">
        <v>1</v>
      </c>
      <c r="F204">
        <v>1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89.291930987810176</v>
      </c>
      <c r="M204">
        <v>29.47</v>
      </c>
      <c r="N204">
        <v>21.54</v>
      </c>
      <c r="O204">
        <v>1.37</v>
      </c>
      <c r="P204">
        <v>25.54</v>
      </c>
      <c r="Q204">
        <v>54.196952203782637</v>
      </c>
      <c r="R204">
        <v>0.43</v>
      </c>
      <c r="S204">
        <v>30.04</v>
      </c>
      <c r="T204">
        <v>4.5599999999999996</v>
      </c>
      <c r="U204">
        <v>11.73801098901099</v>
      </c>
      <c r="V204">
        <v>29.556477170118281</v>
      </c>
      <c r="W204">
        <v>59.030001934469027</v>
      </c>
      <c r="X204">
        <v>22.434955722639941</v>
      </c>
      <c r="Y204">
        <v>18.949909479409492</v>
      </c>
      <c r="Z204">
        <v>687.09477549780524</v>
      </c>
      <c r="AA204">
        <v>420.58521298146297</v>
      </c>
    </row>
    <row r="205" spans="1:27">
      <c r="A205">
        <v>37</v>
      </c>
      <c r="B205">
        <v>0</v>
      </c>
      <c r="C205">
        <v>25.951557000000001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85.896451001612746</v>
      </c>
      <c r="M205">
        <v>31.33</v>
      </c>
      <c r="N205">
        <v>18.7</v>
      </c>
      <c r="O205">
        <v>1.68</v>
      </c>
      <c r="P205">
        <v>25.87</v>
      </c>
      <c r="Q205">
        <v>53.72023170822176</v>
      </c>
      <c r="R205">
        <v>0.34</v>
      </c>
      <c r="S205">
        <v>31.64</v>
      </c>
      <c r="T205">
        <v>3.1</v>
      </c>
      <c r="U205">
        <v>11.70147863247864</v>
      </c>
      <c r="V205">
        <v>27.720075441083502</v>
      </c>
      <c r="W205">
        <v>65.968221472241225</v>
      </c>
      <c r="X205">
        <v>29.931448558657181</v>
      </c>
      <c r="Y205">
        <v>23.078827228327231</v>
      </c>
      <c r="Z205">
        <v>686.92511527730676</v>
      </c>
      <c r="AA205">
        <v>435.72088361638367</v>
      </c>
    </row>
    <row r="206" spans="1:27">
      <c r="A206">
        <v>37</v>
      </c>
      <c r="B206">
        <v>0</v>
      </c>
      <c r="C206">
        <v>21.453572999999999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97.511156393123798</v>
      </c>
      <c r="M206">
        <v>8.83</v>
      </c>
      <c r="N206">
        <v>1.61</v>
      </c>
      <c r="O206">
        <v>5.47</v>
      </c>
      <c r="P206">
        <v>14.67</v>
      </c>
      <c r="Q206">
        <v>61.510555045479528</v>
      </c>
      <c r="R206">
        <v>0.43</v>
      </c>
      <c r="S206">
        <v>32.270000000000003</v>
      </c>
      <c r="T206">
        <v>3.65</v>
      </c>
      <c r="U206">
        <v>11.65586507936508</v>
      </c>
      <c r="V206">
        <v>23.78790396372634</v>
      </c>
      <c r="W206">
        <v>66.482289078039074</v>
      </c>
      <c r="X206">
        <v>27.066511653895279</v>
      </c>
      <c r="Y206">
        <v>21.971938339438349</v>
      </c>
      <c r="Z206">
        <v>244.3343452380951</v>
      </c>
      <c r="AA206">
        <v>172.5757945665446</v>
      </c>
    </row>
    <row r="207" spans="1:27">
      <c r="A207">
        <v>46</v>
      </c>
      <c r="B207">
        <v>0</v>
      </c>
      <c r="C207">
        <v>21.829951999999999</v>
      </c>
      <c r="D207">
        <v>0</v>
      </c>
      <c r="E207">
        <v>1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68.070127914483194</v>
      </c>
      <c r="M207">
        <v>65.41</v>
      </c>
      <c r="N207">
        <v>50.12</v>
      </c>
      <c r="O207">
        <v>1.31</v>
      </c>
      <c r="P207">
        <v>36.33</v>
      </c>
      <c r="Q207">
        <v>33.512739486840267</v>
      </c>
      <c r="R207">
        <v>0.16</v>
      </c>
      <c r="S207">
        <v>31.91</v>
      </c>
      <c r="T207">
        <v>4.1100000000000003</v>
      </c>
      <c r="U207">
        <v>11.065469474969481</v>
      </c>
      <c r="V207">
        <v>28.365280890950238</v>
      </c>
      <c r="W207">
        <v>71.068228070175422</v>
      </c>
      <c r="X207">
        <v>27.223893664477281</v>
      </c>
      <c r="Y207">
        <v>22.71772123015873</v>
      </c>
      <c r="Z207">
        <v>1422.0190628815631</v>
      </c>
      <c r="AA207">
        <v>754.36359217171707</v>
      </c>
    </row>
    <row r="208" spans="1:27" hidden="1">
      <c r="A208">
        <v>21</v>
      </c>
      <c r="B208">
        <v>1</v>
      </c>
      <c r="C208">
        <v>30.864197000000001</v>
      </c>
      <c r="D208">
        <v>0</v>
      </c>
      <c r="E208">
        <v>0</v>
      </c>
      <c r="F208">
        <v>0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72.244413978441059</v>
      </c>
      <c r="M208">
        <v>119.18</v>
      </c>
      <c r="N208">
        <v>187.85</v>
      </c>
      <c r="O208">
        <v>0.63</v>
      </c>
      <c r="P208">
        <v>53.87</v>
      </c>
      <c r="Q208">
        <v>33.613744363663884</v>
      </c>
      <c r="R208">
        <v>0.56000000000000005</v>
      </c>
      <c r="S208">
        <v>33.21</v>
      </c>
      <c r="T208">
        <v>9.4600000000000009</v>
      </c>
      <c r="U208">
        <v>11.40770634920635</v>
      </c>
      <c r="V208">
        <v>22.884075918964079</v>
      </c>
      <c r="W208">
        <v>57.10792188058511</v>
      </c>
      <c r="X208">
        <v>21.452682539682542</v>
      </c>
      <c r="Y208">
        <v>18.49533225108225</v>
      </c>
      <c r="Z208">
        <v>2826.8978165204671</v>
      </c>
      <c r="AA208">
        <v>1742.4588411050061</v>
      </c>
    </row>
    <row r="209" spans="1:27" hidden="1">
      <c r="A209">
        <v>57</v>
      </c>
      <c r="B209">
        <v>0</v>
      </c>
      <c r="C209">
        <v>20.134779000000002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76.224636707471717</v>
      </c>
      <c r="M209">
        <v>14.13</v>
      </c>
      <c r="N209">
        <v>15.8</v>
      </c>
      <c r="O209">
        <v>0.89</v>
      </c>
      <c r="P209">
        <v>23.82</v>
      </c>
      <c r="Q209">
        <v>53.933194804969133</v>
      </c>
      <c r="R209">
        <v>0.56000000000000005</v>
      </c>
      <c r="S209">
        <v>31.21</v>
      </c>
      <c r="T209">
        <v>4.2300000000000004</v>
      </c>
      <c r="U209">
        <v>6.9409950234724613</v>
      </c>
      <c r="V209">
        <v>13.58073491664854</v>
      </c>
      <c r="W209">
        <v>56.982173724208927</v>
      </c>
      <c r="X209">
        <v>12.21720766344079</v>
      </c>
      <c r="Y209">
        <v>9.1317559523809546</v>
      </c>
      <c r="Z209">
        <v>612.47750817809617</v>
      </c>
      <c r="AA209">
        <v>432.91930028305052</v>
      </c>
    </row>
    <row r="210" spans="1:27" hidden="1">
      <c r="A210">
        <v>43</v>
      </c>
      <c r="B210">
        <v>0</v>
      </c>
      <c r="C210">
        <v>23.833003999999999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65.50541571772456</v>
      </c>
      <c r="M210">
        <v>644.09</v>
      </c>
      <c r="N210">
        <v>648.4</v>
      </c>
      <c r="O210">
        <v>0.99</v>
      </c>
      <c r="P210">
        <v>128.18</v>
      </c>
      <c r="Q210">
        <v>40.745494370992333</v>
      </c>
      <c r="R210">
        <v>0.52</v>
      </c>
      <c r="S210">
        <v>31.38</v>
      </c>
      <c r="T210">
        <v>15.08</v>
      </c>
      <c r="U210">
        <v>10.576347978818561</v>
      </c>
      <c r="V210">
        <v>26.793161502240459</v>
      </c>
      <c r="W210">
        <v>58.601649581751147</v>
      </c>
      <c r="X210">
        <v>18.96285774468781</v>
      </c>
      <c r="Y210">
        <v>16.846487393162398</v>
      </c>
      <c r="Z210">
        <v>4935.6070198412717</v>
      </c>
      <c r="AA210">
        <v>2122.6216229676429</v>
      </c>
    </row>
    <row r="211" spans="1:27">
      <c r="A211">
        <v>52</v>
      </c>
      <c r="B211">
        <v>0</v>
      </c>
      <c r="C211">
        <v>21.333334000000001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65.167670709045282</v>
      </c>
      <c r="M211">
        <v>625.77</v>
      </c>
      <c r="N211">
        <v>141.87</v>
      </c>
      <c r="O211">
        <v>4.41</v>
      </c>
      <c r="P211">
        <v>108.27</v>
      </c>
      <c r="Q211">
        <v>73.133123458911328</v>
      </c>
      <c r="R211">
        <v>0.09</v>
      </c>
      <c r="S211">
        <v>25.79</v>
      </c>
      <c r="T211">
        <v>7.37</v>
      </c>
      <c r="U211">
        <v>10.84350921137686</v>
      </c>
      <c r="V211">
        <v>15.050634559884561</v>
      </c>
      <c r="W211">
        <v>51.770240668300048</v>
      </c>
      <c r="X211">
        <v>26.620909312909308</v>
      </c>
      <c r="Y211">
        <v>21.483517704517698</v>
      </c>
      <c r="Z211">
        <v>5035.7695119047639</v>
      </c>
      <c r="AA211">
        <v>2779.1705595970689</v>
      </c>
    </row>
    <row r="212" spans="1:27" hidden="1">
      <c r="A212">
        <v>22</v>
      </c>
      <c r="B212">
        <v>0</v>
      </c>
      <c r="C212">
        <v>17.898023999999999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89.958287581699366</v>
      </c>
      <c r="M212">
        <v>41.22</v>
      </c>
      <c r="N212">
        <v>45.88</v>
      </c>
      <c r="O212">
        <v>0.9</v>
      </c>
      <c r="P212">
        <v>27.65</v>
      </c>
      <c r="Q212">
        <v>40.223413215554821</v>
      </c>
      <c r="R212">
        <v>0.43</v>
      </c>
      <c r="S212">
        <v>28.38</v>
      </c>
      <c r="T212">
        <v>6.29</v>
      </c>
      <c r="U212">
        <v>7.4690944230494916</v>
      </c>
      <c r="V212">
        <v>13.795657645431101</v>
      </c>
      <c r="W212">
        <v>50.630776442404539</v>
      </c>
      <c r="X212">
        <v>11.88380150405151</v>
      </c>
      <c r="Y212">
        <v>6.498107496275181</v>
      </c>
      <c r="Z212">
        <v>820.04050649350654</v>
      </c>
      <c r="AA212">
        <v>500.4398148304652</v>
      </c>
    </row>
    <row r="213" spans="1:27" hidden="1">
      <c r="A213">
        <v>45</v>
      </c>
      <c r="B213">
        <v>0</v>
      </c>
      <c r="C213">
        <v>19.53125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65.536513317825396</v>
      </c>
      <c r="M213">
        <v>56.34</v>
      </c>
      <c r="N213">
        <v>793.54</v>
      </c>
      <c r="O213">
        <v>7.0000000000000007E-2</v>
      </c>
      <c r="P213">
        <v>85.96</v>
      </c>
      <c r="Q213">
        <v>23.398478985273201</v>
      </c>
      <c r="R213">
        <v>0.24</v>
      </c>
      <c r="S213">
        <v>31.72</v>
      </c>
      <c r="T213">
        <v>14.05</v>
      </c>
      <c r="U213">
        <v>10.56299572649573</v>
      </c>
      <c r="V213">
        <v>26.044626148705088</v>
      </c>
      <c r="W213">
        <v>62.310984890109893</v>
      </c>
      <c r="X213">
        <v>17.15387236710658</v>
      </c>
      <c r="Y213">
        <v>14.46350746475747</v>
      </c>
      <c r="Z213">
        <v>4184.252186507937</v>
      </c>
      <c r="AA213">
        <v>2001.4010151190471</v>
      </c>
    </row>
    <row r="214" spans="1:27">
      <c r="A214">
        <v>38</v>
      </c>
      <c r="B214">
        <v>0</v>
      </c>
      <c r="C214">
        <v>22.476586999999999</v>
      </c>
      <c r="D214">
        <v>0</v>
      </c>
      <c r="E214">
        <v>0</v>
      </c>
      <c r="F214">
        <v>1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68.908343514924397</v>
      </c>
      <c r="M214">
        <v>118.96</v>
      </c>
      <c r="N214">
        <v>221.34</v>
      </c>
      <c r="O214">
        <v>0.54</v>
      </c>
      <c r="P214">
        <v>56.79</v>
      </c>
      <c r="Q214">
        <v>32.791687929668242</v>
      </c>
      <c r="R214">
        <v>0.18</v>
      </c>
      <c r="S214">
        <v>28.08</v>
      </c>
      <c r="T214">
        <v>6.06</v>
      </c>
      <c r="U214">
        <v>11.41591885728651</v>
      </c>
      <c r="V214">
        <v>17.383407533986489</v>
      </c>
      <c r="W214">
        <v>52.637496706698343</v>
      </c>
      <c r="X214">
        <v>25.62132873851295</v>
      </c>
      <c r="Y214">
        <v>19.488730907980909</v>
      </c>
      <c r="Z214">
        <v>3223.6646199327411</v>
      </c>
      <c r="AA214">
        <v>1722.870167972583</v>
      </c>
    </row>
    <row r="215" spans="1:27">
      <c r="A215">
        <v>66</v>
      </c>
      <c r="B215">
        <v>1</v>
      </c>
      <c r="C215">
        <v>25.765713000000002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67.78438139745866</v>
      </c>
      <c r="M215">
        <v>224.56</v>
      </c>
      <c r="N215">
        <v>81.599999999999994</v>
      </c>
      <c r="O215">
        <v>2.75</v>
      </c>
      <c r="P215">
        <v>40.28</v>
      </c>
      <c r="Q215">
        <v>63.670054481111187</v>
      </c>
      <c r="R215">
        <v>0.24</v>
      </c>
      <c r="S215">
        <v>31.44</v>
      </c>
      <c r="T215">
        <v>8.16</v>
      </c>
      <c r="U215">
        <v>8.593988372738373</v>
      </c>
      <c r="V215">
        <v>28.720421388393849</v>
      </c>
      <c r="W215">
        <v>66.440016213251042</v>
      </c>
      <c r="X215">
        <v>21.034531750413329</v>
      </c>
      <c r="Y215">
        <v>15.65341341991342</v>
      </c>
      <c r="Z215">
        <v>1713.6842777777781</v>
      </c>
      <c r="AA215">
        <v>1086.5434668109669</v>
      </c>
    </row>
    <row r="216" spans="1:27" hidden="1">
      <c r="A216">
        <v>40</v>
      </c>
      <c r="B216">
        <v>0</v>
      </c>
      <c r="C216">
        <v>19.921875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85.108262626262615</v>
      </c>
      <c r="M216">
        <v>52.7</v>
      </c>
      <c r="N216">
        <v>9.27</v>
      </c>
      <c r="O216">
        <v>5.68</v>
      </c>
      <c r="P216">
        <v>21.66</v>
      </c>
      <c r="Q216">
        <v>75.939007247387181</v>
      </c>
      <c r="R216">
        <v>0.75</v>
      </c>
      <c r="S216">
        <v>29.36</v>
      </c>
      <c r="T216">
        <v>5</v>
      </c>
      <c r="U216">
        <v>6.9148256576645517</v>
      </c>
      <c r="V216">
        <v>22.15066594516594</v>
      </c>
      <c r="W216">
        <v>54.38232659154631</v>
      </c>
      <c r="X216">
        <v>7.8821834711834704</v>
      </c>
      <c r="Y216">
        <v>6.0408531746031748</v>
      </c>
      <c r="Z216">
        <v>593.8991661563075</v>
      </c>
      <c r="AA216">
        <v>351.85441269841277</v>
      </c>
    </row>
    <row r="217" spans="1:27">
      <c r="A217">
        <v>38</v>
      </c>
      <c r="B217">
        <v>1</v>
      </c>
      <c r="C217">
        <v>24.151672000000001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71.285139949994843</v>
      </c>
      <c r="M217">
        <v>103.62</v>
      </c>
      <c r="N217">
        <v>306.35000000000002</v>
      </c>
      <c r="O217">
        <v>0.34</v>
      </c>
      <c r="P217">
        <v>53.51</v>
      </c>
      <c r="Q217">
        <v>26.002882916696439</v>
      </c>
      <c r="R217">
        <v>0.44</v>
      </c>
      <c r="S217">
        <v>34.6</v>
      </c>
      <c r="T217">
        <v>5.03</v>
      </c>
      <c r="U217">
        <v>11.12862698412698</v>
      </c>
      <c r="V217">
        <v>30.463748705684399</v>
      </c>
      <c r="W217">
        <v>66.000133110250104</v>
      </c>
      <c r="X217">
        <v>23.70274184743468</v>
      </c>
      <c r="Y217">
        <v>19.423475468975472</v>
      </c>
      <c r="Z217">
        <v>2708.6024907628912</v>
      </c>
      <c r="AA217">
        <v>1231.067098845599</v>
      </c>
    </row>
    <row r="218" spans="1:27" hidden="1">
      <c r="A218">
        <v>23</v>
      </c>
      <c r="B218">
        <v>1</v>
      </c>
      <c r="C218">
        <v>18.827159999999999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78.955104565873256</v>
      </c>
      <c r="M218">
        <v>84.2</v>
      </c>
      <c r="N218">
        <v>104.36</v>
      </c>
      <c r="O218">
        <v>0.81</v>
      </c>
      <c r="P218">
        <v>38.22</v>
      </c>
      <c r="Q218">
        <v>35.57693859749358</v>
      </c>
      <c r="R218">
        <v>0.33</v>
      </c>
      <c r="S218">
        <v>30.11</v>
      </c>
      <c r="T218">
        <v>8.32</v>
      </c>
      <c r="U218">
        <v>6.1725782536177283</v>
      </c>
      <c r="V218">
        <v>11.651654461417049</v>
      </c>
      <c r="W218">
        <v>54.238752431253737</v>
      </c>
      <c r="X218">
        <v>11.680640331890331</v>
      </c>
      <c r="Y218">
        <v>2.785681042806468</v>
      </c>
      <c r="Z218">
        <v>1441.8849218281721</v>
      </c>
      <c r="AA218">
        <v>1062.2862081252081</v>
      </c>
    </row>
    <row r="219" spans="1:27" hidden="1">
      <c r="A219">
        <v>26</v>
      </c>
      <c r="B219">
        <v>1</v>
      </c>
      <c r="C219">
        <v>21.258503000000001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88.878678857034359</v>
      </c>
      <c r="M219">
        <v>19.600000000000001</v>
      </c>
      <c r="N219">
        <v>31.95</v>
      </c>
      <c r="O219">
        <v>0.61</v>
      </c>
      <c r="P219">
        <v>32.14</v>
      </c>
      <c r="Q219">
        <v>50.1194270063395</v>
      </c>
      <c r="R219">
        <v>0.4</v>
      </c>
      <c r="S219">
        <v>29.29</v>
      </c>
      <c r="T219">
        <v>6.4</v>
      </c>
      <c r="U219">
        <v>6.2470435700441218</v>
      </c>
      <c r="V219">
        <v>13.263029579053031</v>
      </c>
      <c r="W219">
        <v>51.624005966473057</v>
      </c>
      <c r="X219">
        <v>11.37486163836164</v>
      </c>
      <c r="Y219">
        <v>5.0964021090697909</v>
      </c>
      <c r="Z219">
        <v>1004.176290517961</v>
      </c>
      <c r="AA219">
        <v>599.34799348124989</v>
      </c>
    </row>
    <row r="220" spans="1:27" hidden="1">
      <c r="A220">
        <v>27</v>
      </c>
      <c r="B220">
        <v>0</v>
      </c>
      <c r="C220">
        <v>19.909973000000001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68.861363571183517</v>
      </c>
      <c r="M220">
        <v>125.99</v>
      </c>
      <c r="N220">
        <v>621.04</v>
      </c>
      <c r="O220">
        <v>0.2</v>
      </c>
      <c r="P220">
        <v>75.959999999999994</v>
      </c>
      <c r="Q220">
        <v>24.976236830131061</v>
      </c>
      <c r="R220">
        <v>0.19</v>
      </c>
      <c r="S220">
        <v>31.27</v>
      </c>
      <c r="T220">
        <v>12.4</v>
      </c>
      <c r="U220">
        <v>6.4399031567847347</v>
      </c>
      <c r="V220">
        <v>15.981851890799261</v>
      </c>
      <c r="W220">
        <v>58.406280755522339</v>
      </c>
      <c r="X220">
        <v>12.55290331890332</v>
      </c>
      <c r="Y220">
        <v>4.8429477189477188</v>
      </c>
      <c r="Z220">
        <v>4371.8071507936511</v>
      </c>
      <c r="AA220">
        <v>1775.034549039683</v>
      </c>
    </row>
    <row r="221" spans="1:27" hidden="1">
      <c r="A221">
        <v>60</v>
      </c>
      <c r="B221">
        <v>1</v>
      </c>
      <c r="C221">
        <v>25.099499999999999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63.444627622436748</v>
      </c>
      <c r="M221">
        <v>39.51</v>
      </c>
      <c r="N221">
        <v>102.17</v>
      </c>
      <c r="O221">
        <v>0.39</v>
      </c>
      <c r="P221">
        <v>41.68</v>
      </c>
      <c r="Q221">
        <v>32.102817065518273</v>
      </c>
      <c r="R221">
        <v>0.45</v>
      </c>
      <c r="S221">
        <v>34.26</v>
      </c>
      <c r="T221">
        <v>8.35</v>
      </c>
      <c r="U221">
        <v>4.6228134920634911</v>
      </c>
      <c r="V221">
        <v>16.86937009198531</v>
      </c>
      <c r="W221">
        <v>61.582613786101327</v>
      </c>
      <c r="X221">
        <v>8.8718697474023571</v>
      </c>
      <c r="Y221">
        <v>3.9878079136114639</v>
      </c>
      <c r="Z221">
        <v>1769.541422856011</v>
      </c>
      <c r="AA221">
        <v>1105.2790786158289</v>
      </c>
    </row>
    <row r="222" spans="1:27" hidden="1">
      <c r="A222">
        <v>57</v>
      </c>
      <c r="B222">
        <v>0</v>
      </c>
      <c r="C222">
        <v>23.243407999999999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81.008658941276579</v>
      </c>
      <c r="M222">
        <v>15.38</v>
      </c>
      <c r="N222">
        <v>4.5</v>
      </c>
      <c r="O222">
        <v>3.42</v>
      </c>
      <c r="P222">
        <v>20.58</v>
      </c>
      <c r="Q222">
        <v>61.479872468972097</v>
      </c>
      <c r="R222">
        <v>0.57999999999999996</v>
      </c>
      <c r="S222">
        <v>33.28</v>
      </c>
      <c r="T222">
        <v>2.12</v>
      </c>
      <c r="U222">
        <v>7.590808594183593</v>
      </c>
      <c r="V222">
        <v>13.931625839700081</v>
      </c>
      <c r="W222">
        <v>63.405501302322747</v>
      </c>
      <c r="X222">
        <v>15.180399438332559</v>
      </c>
      <c r="Y222">
        <v>8.9005271626521658</v>
      </c>
      <c r="Z222">
        <v>499.55462166836429</v>
      </c>
      <c r="AA222">
        <v>268.31777917915417</v>
      </c>
    </row>
    <row r="223" spans="1:27" hidden="1">
      <c r="A223">
        <v>42</v>
      </c>
      <c r="B223">
        <v>0</v>
      </c>
      <c r="C223">
        <v>25.065746000000001</v>
      </c>
      <c r="D223">
        <v>0</v>
      </c>
      <c r="E223">
        <v>0</v>
      </c>
      <c r="F223">
        <v>0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65.073153758745491</v>
      </c>
      <c r="M223">
        <v>117.36</v>
      </c>
      <c r="N223">
        <v>241.12</v>
      </c>
      <c r="O223">
        <v>0.49</v>
      </c>
      <c r="P223">
        <v>70.87</v>
      </c>
      <c r="Q223">
        <v>33.001937686205437</v>
      </c>
      <c r="R223">
        <v>0.48</v>
      </c>
      <c r="S223">
        <v>30.72</v>
      </c>
      <c r="T223">
        <v>5.0999999999999996</v>
      </c>
      <c r="U223">
        <v>10.67208263305322</v>
      </c>
      <c r="V223">
        <v>17.284984288372449</v>
      </c>
      <c r="W223">
        <v>54.032010125824719</v>
      </c>
      <c r="X223">
        <v>17.374498294610451</v>
      </c>
      <c r="Y223">
        <v>17.499482378732381</v>
      </c>
      <c r="Z223">
        <v>3759.4067301587311</v>
      </c>
      <c r="AA223">
        <v>2001.1211458008661</v>
      </c>
    </row>
    <row r="224" spans="1:27" hidden="1">
      <c r="A224">
        <v>22</v>
      </c>
      <c r="B224">
        <v>0</v>
      </c>
      <c r="C224">
        <v>18.73049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77.509641562400844</v>
      </c>
      <c r="M224">
        <v>60.72</v>
      </c>
      <c r="N224">
        <v>196.65</v>
      </c>
      <c r="O224">
        <v>0.31</v>
      </c>
      <c r="P224">
        <v>43.58</v>
      </c>
      <c r="Q224">
        <v>26.07771671405715</v>
      </c>
      <c r="R224">
        <v>0.31</v>
      </c>
      <c r="S224">
        <v>32.42</v>
      </c>
      <c r="T224">
        <v>10.47</v>
      </c>
      <c r="U224">
        <v>11.62492155067155</v>
      </c>
      <c r="V224">
        <v>29.024078184684932</v>
      </c>
      <c r="W224">
        <v>63.912987642763127</v>
      </c>
      <c r="X224">
        <v>22.227373137973139</v>
      </c>
      <c r="Y224">
        <v>19.280629870129879</v>
      </c>
      <c r="Z224">
        <v>1883.8182353120731</v>
      </c>
      <c r="AA224">
        <v>817.41153038628045</v>
      </c>
    </row>
    <row r="225" spans="1:27" hidden="1">
      <c r="A225">
        <v>58</v>
      </c>
      <c r="B225">
        <v>1</v>
      </c>
      <c r="C225">
        <v>29.410734000000001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80.360182955932942</v>
      </c>
      <c r="M225">
        <v>34.479999999999997</v>
      </c>
      <c r="N225">
        <v>5.07</v>
      </c>
      <c r="O225">
        <v>6.8</v>
      </c>
      <c r="P225">
        <v>19.260000000000002</v>
      </c>
      <c r="Q225">
        <v>60.397831548169712</v>
      </c>
      <c r="R225">
        <v>0.49</v>
      </c>
      <c r="S225">
        <v>33.880000000000003</v>
      </c>
      <c r="T225">
        <v>2.17</v>
      </c>
      <c r="U225">
        <v>4.4756929321409604</v>
      </c>
      <c r="V225">
        <v>9.23271394536836</v>
      </c>
      <c r="W225">
        <v>61.349290006867577</v>
      </c>
      <c r="X225">
        <v>8.464053030303031</v>
      </c>
      <c r="Y225">
        <v>2.331636607736475</v>
      </c>
      <c r="Z225">
        <v>374.29595304532057</v>
      </c>
      <c r="AA225">
        <v>248.463678338818</v>
      </c>
    </row>
    <row r="226" spans="1:27" hidden="1">
      <c r="A226">
        <v>41</v>
      </c>
      <c r="B226">
        <v>0</v>
      </c>
      <c r="C226">
        <v>19.433014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66.71574580892964</v>
      </c>
      <c r="M226">
        <v>966.65</v>
      </c>
      <c r="N226">
        <v>1049.33</v>
      </c>
      <c r="O226">
        <v>0.92</v>
      </c>
      <c r="P226">
        <v>120.72</v>
      </c>
      <c r="Q226">
        <v>33.298219786059057</v>
      </c>
      <c r="R226">
        <v>0.19</v>
      </c>
      <c r="S226">
        <v>30.22</v>
      </c>
      <c r="T226">
        <v>12.93</v>
      </c>
      <c r="U226">
        <v>11.46088533525298</v>
      </c>
      <c r="V226">
        <v>28.84617424242424</v>
      </c>
      <c r="W226">
        <v>59.148910541519392</v>
      </c>
      <c r="X226">
        <v>26.25801738747224</v>
      </c>
      <c r="Y226">
        <v>21.789896825396831</v>
      </c>
      <c r="Z226">
        <v>5330.2841626984118</v>
      </c>
      <c r="AA226">
        <v>2225.8959787612948</v>
      </c>
    </row>
    <row r="227" spans="1:27">
      <c r="A227">
        <v>35</v>
      </c>
      <c r="B227">
        <v>0</v>
      </c>
      <c r="C227">
        <v>18.75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82.961410790871128</v>
      </c>
      <c r="M227">
        <v>14.93</v>
      </c>
      <c r="N227">
        <v>61.81</v>
      </c>
      <c r="O227">
        <v>0.24</v>
      </c>
      <c r="P227">
        <v>40.590000000000003</v>
      </c>
      <c r="Q227">
        <v>30.523431295089789</v>
      </c>
      <c r="R227">
        <v>0.24</v>
      </c>
      <c r="S227">
        <v>24.43</v>
      </c>
      <c r="T227">
        <v>12.11</v>
      </c>
      <c r="U227">
        <v>11.864849206349209</v>
      </c>
      <c r="V227">
        <v>17.749461038961041</v>
      </c>
      <c r="W227">
        <v>52.482955378426503</v>
      </c>
      <c r="X227">
        <v>26.291904135338349</v>
      </c>
      <c r="Y227">
        <v>19.202247863247869</v>
      </c>
      <c r="Z227">
        <v>1992.1968887512271</v>
      </c>
      <c r="AA227">
        <v>984.48837373737376</v>
      </c>
    </row>
    <row r="228" spans="1:27">
      <c r="A228">
        <v>25</v>
      </c>
      <c r="B228">
        <v>1</v>
      </c>
      <c r="C228">
        <v>26.573129999999999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86.06850721500723</v>
      </c>
      <c r="M228">
        <v>83.57</v>
      </c>
      <c r="N228">
        <v>40.270000000000003</v>
      </c>
      <c r="O228">
        <v>2.08</v>
      </c>
      <c r="P228">
        <v>28.55</v>
      </c>
      <c r="Q228">
        <v>61.403088588868833</v>
      </c>
      <c r="R228">
        <v>0.28000000000000003</v>
      </c>
      <c r="S228">
        <v>34.24</v>
      </c>
      <c r="T228">
        <v>5.78</v>
      </c>
      <c r="U228">
        <v>9.858611111111113</v>
      </c>
      <c r="V228">
        <v>28.404961083219149</v>
      </c>
      <c r="W228">
        <v>69.151396432645583</v>
      </c>
      <c r="X228">
        <v>25.40338470457754</v>
      </c>
      <c r="Y228">
        <v>17.8482071886447</v>
      </c>
      <c r="Z228">
        <v>1054.424027417027</v>
      </c>
      <c r="AA228">
        <v>557.7537845874707</v>
      </c>
    </row>
    <row r="229" spans="1:27" hidden="1">
      <c r="A229">
        <v>54</v>
      </c>
      <c r="B229">
        <v>0</v>
      </c>
      <c r="C229">
        <v>19.628264999999999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78.740947213414586</v>
      </c>
      <c r="M229">
        <v>14.22</v>
      </c>
      <c r="N229">
        <v>28.05</v>
      </c>
      <c r="O229">
        <v>0.51</v>
      </c>
      <c r="P229">
        <v>19.600000000000001</v>
      </c>
      <c r="Q229">
        <v>46.495766909272717</v>
      </c>
      <c r="R229">
        <v>0.22</v>
      </c>
      <c r="S229">
        <v>29.58</v>
      </c>
      <c r="T229">
        <v>3.6</v>
      </c>
      <c r="U229">
        <v>8.4608349362625681</v>
      </c>
      <c r="V229">
        <v>19.9006424963925</v>
      </c>
      <c r="W229">
        <v>52.802349430139763</v>
      </c>
      <c r="X229">
        <v>14.30208630872052</v>
      </c>
      <c r="Y229">
        <v>10.865097619047621</v>
      </c>
      <c r="Z229">
        <v>520.99265909090923</v>
      </c>
      <c r="AA229">
        <v>225.82121640859131</v>
      </c>
    </row>
    <row r="230" spans="1:27">
      <c r="A230">
        <v>26</v>
      </c>
      <c r="B230">
        <v>1</v>
      </c>
      <c r="C230">
        <v>23.661438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87.736070315072865</v>
      </c>
      <c r="M230">
        <v>34.409999999999997</v>
      </c>
      <c r="N230">
        <v>17.93</v>
      </c>
      <c r="O230">
        <v>1.92</v>
      </c>
      <c r="P230">
        <v>30.86</v>
      </c>
      <c r="Q230">
        <v>56.912135030326937</v>
      </c>
      <c r="R230">
        <v>0.84</v>
      </c>
      <c r="S230">
        <v>31.82</v>
      </c>
      <c r="T230">
        <v>4.43</v>
      </c>
      <c r="U230">
        <v>10.329817460317461</v>
      </c>
      <c r="V230">
        <v>26.573796001225119</v>
      </c>
      <c r="W230">
        <v>63.506869047619048</v>
      </c>
      <c r="X230">
        <v>24.050311918445541</v>
      </c>
      <c r="Y230">
        <v>17.588338050838061</v>
      </c>
      <c r="Z230">
        <v>983.709230799902</v>
      </c>
      <c r="AA230">
        <v>599.2895119304269</v>
      </c>
    </row>
    <row r="231" spans="1:27">
      <c r="A231">
        <v>20</v>
      </c>
      <c r="B231">
        <v>0</v>
      </c>
      <c r="C231">
        <v>19.433014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69.374919662123233</v>
      </c>
      <c r="M231">
        <v>150.07</v>
      </c>
      <c r="N231">
        <v>276.62</v>
      </c>
      <c r="O231">
        <v>0.54</v>
      </c>
      <c r="P231">
        <v>65.95</v>
      </c>
      <c r="Q231">
        <v>32.229340072153242</v>
      </c>
      <c r="R231">
        <v>1.94</v>
      </c>
      <c r="S231">
        <v>28.95</v>
      </c>
      <c r="T231">
        <v>13.42</v>
      </c>
      <c r="U231">
        <v>11.816710317460309</v>
      </c>
      <c r="V231">
        <v>20.24150360750361</v>
      </c>
      <c r="W231">
        <v>54.207666467805737</v>
      </c>
      <c r="X231">
        <v>24.599253968253969</v>
      </c>
      <c r="Y231">
        <v>17.84969084249084</v>
      </c>
      <c r="Z231">
        <v>3741.659563492065</v>
      </c>
      <c r="AA231">
        <v>1877.262330650183</v>
      </c>
    </row>
    <row r="232" spans="1:27">
      <c r="A232">
        <v>55</v>
      </c>
      <c r="B232">
        <v>0</v>
      </c>
      <c r="C232">
        <v>27.434843000000001</v>
      </c>
      <c r="D232">
        <v>0</v>
      </c>
      <c r="E232">
        <v>0</v>
      </c>
      <c r="F232">
        <v>1</v>
      </c>
      <c r="G232">
        <v>1</v>
      </c>
      <c r="H232">
        <v>0</v>
      </c>
      <c r="I232">
        <v>1</v>
      </c>
      <c r="J232">
        <v>0</v>
      </c>
      <c r="K232">
        <v>0</v>
      </c>
      <c r="L232">
        <v>73.400349206349219</v>
      </c>
      <c r="M232">
        <v>40.28</v>
      </c>
      <c r="N232">
        <v>13.84</v>
      </c>
      <c r="O232">
        <v>2.91</v>
      </c>
      <c r="P232">
        <v>26.03</v>
      </c>
      <c r="Q232">
        <v>56.978829160849322</v>
      </c>
      <c r="R232">
        <v>0.2</v>
      </c>
      <c r="S232">
        <v>31.37</v>
      </c>
      <c r="T232">
        <v>2.6</v>
      </c>
      <c r="U232">
        <v>10.86764413201178</v>
      </c>
      <c r="V232">
        <v>26.535445828865662</v>
      </c>
      <c r="W232">
        <v>63.008194627898582</v>
      </c>
      <c r="X232">
        <v>29.163337457205099</v>
      </c>
      <c r="Y232">
        <v>23.397254717504708</v>
      </c>
      <c r="Z232">
        <v>831.96423252117438</v>
      </c>
      <c r="AA232">
        <v>441.87042329892341</v>
      </c>
    </row>
    <row r="233" spans="1:27" hidden="1">
      <c r="A233">
        <v>48</v>
      </c>
      <c r="B233">
        <v>0</v>
      </c>
      <c r="C233">
        <v>19.654018000000001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77.974142323859695</v>
      </c>
      <c r="M233">
        <v>22.71</v>
      </c>
      <c r="N233">
        <v>20.14</v>
      </c>
      <c r="O233">
        <v>1.1299999999999999</v>
      </c>
      <c r="P233">
        <v>22.99</v>
      </c>
      <c r="Q233">
        <v>56.944976381367198</v>
      </c>
      <c r="R233">
        <v>0.26</v>
      </c>
      <c r="S233">
        <v>25.77</v>
      </c>
      <c r="T233">
        <v>5.62</v>
      </c>
      <c r="U233">
        <v>6.7970744333986213</v>
      </c>
      <c r="V233">
        <v>14.95974938949939</v>
      </c>
      <c r="W233">
        <v>52.171912717935768</v>
      </c>
      <c r="X233">
        <v>12.296513442697661</v>
      </c>
      <c r="Y233">
        <v>7.1702071234998082</v>
      </c>
      <c r="Z233">
        <v>754.65140965357466</v>
      </c>
      <c r="AA233">
        <v>431.53483599733619</v>
      </c>
    </row>
    <row r="234" spans="1:27" hidden="1">
      <c r="A234">
        <v>51</v>
      </c>
      <c r="B234">
        <v>0</v>
      </c>
      <c r="C234">
        <v>25.995913000000002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1</v>
      </c>
      <c r="L234">
        <v>85.896175285498799</v>
      </c>
      <c r="M234">
        <v>1890.98</v>
      </c>
      <c r="N234">
        <v>6730.83</v>
      </c>
      <c r="O234">
        <v>0.28000000000000003</v>
      </c>
      <c r="P234">
        <v>285.17</v>
      </c>
      <c r="Q234">
        <v>22.982150438810809</v>
      </c>
      <c r="R234">
        <v>0.25</v>
      </c>
      <c r="S234">
        <v>33.18</v>
      </c>
      <c r="T234">
        <v>35.18</v>
      </c>
      <c r="U234">
        <v>11.025765567765569</v>
      </c>
      <c r="V234">
        <v>26.543507101086039</v>
      </c>
      <c r="W234">
        <v>62.54699556489264</v>
      </c>
      <c r="X234">
        <v>18.612541078897461</v>
      </c>
      <c r="Y234">
        <v>16.145433441558438</v>
      </c>
      <c r="Z234">
        <v>20191.282388888889</v>
      </c>
      <c r="AA234">
        <v>6050.5967889610383</v>
      </c>
    </row>
    <row r="235" spans="1:27" hidden="1">
      <c r="A235">
        <v>56</v>
      </c>
      <c r="B235">
        <v>0</v>
      </c>
      <c r="C235">
        <v>19.979189000000002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67.756357623857625</v>
      </c>
      <c r="M235">
        <v>50.71</v>
      </c>
      <c r="N235">
        <v>39.19</v>
      </c>
      <c r="O235">
        <v>1.29</v>
      </c>
      <c r="P235">
        <v>36.69</v>
      </c>
      <c r="Q235">
        <v>55.428916220868501</v>
      </c>
      <c r="R235">
        <v>0.42</v>
      </c>
      <c r="S235">
        <v>26.76</v>
      </c>
      <c r="T235">
        <v>3.37</v>
      </c>
      <c r="U235">
        <v>5.8477214227765701</v>
      </c>
      <c r="V235">
        <v>11.90729691443822</v>
      </c>
      <c r="W235">
        <v>53.025440020067172</v>
      </c>
      <c r="X235">
        <v>10.005796925296931</v>
      </c>
      <c r="Y235">
        <v>3.6046633819396972</v>
      </c>
      <c r="Z235">
        <v>1400.940304473304</v>
      </c>
      <c r="AA235">
        <v>964.63322817460323</v>
      </c>
    </row>
    <row r="236" spans="1:27">
      <c r="A236">
        <v>26</v>
      </c>
      <c r="B236">
        <v>0</v>
      </c>
      <c r="C236">
        <v>28.763971000000002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82.9458746496272</v>
      </c>
      <c r="M236">
        <v>79.650000000000006</v>
      </c>
      <c r="N236">
        <v>47.16</v>
      </c>
      <c r="O236">
        <v>1.69</v>
      </c>
      <c r="P236">
        <v>40.35</v>
      </c>
      <c r="Q236">
        <v>49.544759202440098</v>
      </c>
      <c r="R236">
        <v>0.87</v>
      </c>
      <c r="S236">
        <v>35.07</v>
      </c>
      <c r="T236">
        <v>7.92</v>
      </c>
      <c r="U236">
        <v>13.20842163228928</v>
      </c>
      <c r="V236">
        <v>29.613527755581881</v>
      </c>
      <c r="W236">
        <v>69.743684875066435</v>
      </c>
      <c r="X236">
        <v>30.918899616858241</v>
      </c>
      <c r="Y236">
        <v>21.735287545787561</v>
      </c>
      <c r="Z236">
        <v>1580.501559523809</v>
      </c>
      <c r="AA236">
        <v>1113.7449444444451</v>
      </c>
    </row>
    <row r="237" spans="1:27" hidden="1">
      <c r="A237">
        <v>55</v>
      </c>
      <c r="B237">
        <v>1</v>
      </c>
      <c r="C237">
        <v>23.836735000000001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77.24835922247685</v>
      </c>
      <c r="M237">
        <v>25.16</v>
      </c>
      <c r="N237">
        <v>6.08</v>
      </c>
      <c r="O237">
        <v>4.1399999999999997</v>
      </c>
      <c r="P237">
        <v>22.29</v>
      </c>
      <c r="Q237">
        <v>60.836285477179914</v>
      </c>
      <c r="R237">
        <v>0.28000000000000003</v>
      </c>
      <c r="S237">
        <v>29.73</v>
      </c>
      <c r="T237">
        <v>3.14</v>
      </c>
      <c r="U237">
        <v>6.6686681814345619</v>
      </c>
      <c r="V237">
        <v>13.33971384171384</v>
      </c>
      <c r="W237">
        <v>55.244350578067831</v>
      </c>
      <c r="X237">
        <v>10.75471176046176</v>
      </c>
      <c r="Y237">
        <v>5.8956067821067828</v>
      </c>
      <c r="Z237">
        <v>720.28284189723297</v>
      </c>
      <c r="AA237">
        <v>326.59841305916308</v>
      </c>
    </row>
    <row r="238" spans="1:27">
      <c r="A238">
        <v>39</v>
      </c>
      <c r="B238">
        <v>0</v>
      </c>
      <c r="C238">
        <v>28.685144000000001</v>
      </c>
      <c r="D238">
        <v>0</v>
      </c>
      <c r="E238">
        <v>0</v>
      </c>
      <c r="F238">
        <v>1</v>
      </c>
      <c r="G238">
        <v>1</v>
      </c>
      <c r="H238">
        <v>0</v>
      </c>
      <c r="I238">
        <v>1</v>
      </c>
      <c r="J238">
        <v>0</v>
      </c>
      <c r="K238">
        <v>1</v>
      </c>
      <c r="L238">
        <v>85.33171500721501</v>
      </c>
      <c r="M238">
        <v>10.14</v>
      </c>
      <c r="N238">
        <v>23.49</v>
      </c>
      <c r="O238">
        <v>0.43</v>
      </c>
      <c r="P238">
        <v>23.63</v>
      </c>
      <c r="Q238">
        <v>53.200827505338353</v>
      </c>
      <c r="R238">
        <v>0.32</v>
      </c>
      <c r="S238">
        <v>32.53</v>
      </c>
      <c r="T238">
        <v>3.98</v>
      </c>
      <c r="U238">
        <v>11.6938134920635</v>
      </c>
      <c r="V238">
        <v>26.274144394189221</v>
      </c>
      <c r="W238">
        <v>63.319189510939523</v>
      </c>
      <c r="X238">
        <v>27.91699937469938</v>
      </c>
      <c r="Y238">
        <v>23.364735958485959</v>
      </c>
      <c r="Z238">
        <v>767.8184050511511</v>
      </c>
      <c r="AA238">
        <v>433.02955028305041</v>
      </c>
    </row>
    <row r="239" spans="1:27">
      <c r="A239">
        <v>30</v>
      </c>
      <c r="B239">
        <v>0</v>
      </c>
      <c r="C239">
        <v>18.339099999999998</v>
      </c>
      <c r="D239">
        <v>0</v>
      </c>
      <c r="E239">
        <v>0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82.710885943888499</v>
      </c>
      <c r="M239">
        <v>49.78</v>
      </c>
      <c r="N239">
        <v>60.13</v>
      </c>
      <c r="O239">
        <v>0.83</v>
      </c>
      <c r="P239">
        <v>45.12</v>
      </c>
      <c r="Q239">
        <v>35.81683883148645</v>
      </c>
      <c r="R239">
        <v>0.8</v>
      </c>
      <c r="S239">
        <v>30.1</v>
      </c>
      <c r="T239">
        <v>6.75</v>
      </c>
      <c r="U239">
        <v>14.88283025634497</v>
      </c>
      <c r="V239">
        <v>28.04269001729676</v>
      </c>
      <c r="W239">
        <v>60.739382928732788</v>
      </c>
      <c r="X239">
        <v>30.098761640211649</v>
      </c>
      <c r="Y239">
        <v>21.780470085470089</v>
      </c>
      <c r="Z239">
        <v>1770.819417851756</v>
      </c>
      <c r="AA239">
        <v>1116.848761016761</v>
      </c>
    </row>
    <row r="240" spans="1:27" hidden="1">
      <c r="A240">
        <v>44</v>
      </c>
      <c r="B240">
        <v>1</v>
      </c>
      <c r="C240">
        <v>25.148605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69.604545964026244</v>
      </c>
      <c r="M240">
        <v>98.22</v>
      </c>
      <c r="N240">
        <v>105.8</v>
      </c>
      <c r="O240">
        <v>0.93</v>
      </c>
      <c r="P240">
        <v>46.27</v>
      </c>
      <c r="Q240">
        <v>40.365266745967681</v>
      </c>
      <c r="R240">
        <v>0.59</v>
      </c>
      <c r="S240">
        <v>32.76</v>
      </c>
      <c r="T240">
        <v>4.5</v>
      </c>
      <c r="U240">
        <v>7.1084545356604201</v>
      </c>
      <c r="V240">
        <v>24.526695172229552</v>
      </c>
      <c r="W240">
        <v>68.23579029961266</v>
      </c>
      <c r="X240">
        <v>13.27790310280535</v>
      </c>
      <c r="Y240">
        <v>11.929773809523811</v>
      </c>
      <c r="Z240">
        <v>1969.5634330669329</v>
      </c>
      <c r="AA240">
        <v>1234.3119177489179</v>
      </c>
    </row>
    <row r="241" spans="1:27" hidden="1">
      <c r="A241">
        <v>22</v>
      </c>
      <c r="B241">
        <v>0</v>
      </c>
      <c r="C241">
        <v>21.501885999999999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90.064689096850884</v>
      </c>
      <c r="M241">
        <v>16.37</v>
      </c>
      <c r="N241">
        <v>32.03</v>
      </c>
      <c r="O241">
        <v>0.51</v>
      </c>
      <c r="P241">
        <v>26.51</v>
      </c>
      <c r="Q241">
        <v>47.597551076925242</v>
      </c>
      <c r="R241">
        <v>0.28000000000000003</v>
      </c>
      <c r="S241">
        <v>34.89</v>
      </c>
      <c r="T241">
        <v>4.2</v>
      </c>
      <c r="U241">
        <v>12.324497474747471</v>
      </c>
      <c r="V241">
        <v>28.237913840386302</v>
      </c>
      <c r="W241">
        <v>64.766633955383952</v>
      </c>
      <c r="X241">
        <v>23.541236521620139</v>
      </c>
      <c r="Y241">
        <v>21.053845238095239</v>
      </c>
      <c r="Z241">
        <v>841.17989118767105</v>
      </c>
      <c r="AA241">
        <v>434.34432233587683</v>
      </c>
    </row>
    <row r="242" spans="1:27" hidden="1">
      <c r="A242">
        <v>27</v>
      </c>
      <c r="B242">
        <v>1</v>
      </c>
      <c r="C242">
        <v>21.967120999999999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66.54615743083265</v>
      </c>
      <c r="M242">
        <v>1133.19</v>
      </c>
      <c r="N242">
        <v>1795.76</v>
      </c>
      <c r="O242">
        <v>0.63</v>
      </c>
      <c r="P242">
        <v>179.29</v>
      </c>
      <c r="Q242">
        <v>32.681860275331047</v>
      </c>
      <c r="R242">
        <v>0.59</v>
      </c>
      <c r="S242">
        <v>33.54</v>
      </c>
      <c r="T242">
        <v>16.940000000000001</v>
      </c>
      <c r="U242">
        <v>4.3851283701678447</v>
      </c>
      <c r="V242">
        <v>15.4108162277434</v>
      </c>
      <c r="W242">
        <v>58.845203344733697</v>
      </c>
      <c r="X242">
        <v>10.553691394862449</v>
      </c>
      <c r="Y242">
        <v>2.7679387900746599</v>
      </c>
      <c r="Z242">
        <v>9858.9027698412701</v>
      </c>
      <c r="AA242">
        <v>2053.0884595715388</v>
      </c>
    </row>
    <row r="243" spans="1:27" hidden="1">
      <c r="A243">
        <v>27</v>
      </c>
      <c r="B243">
        <v>1</v>
      </c>
      <c r="C243">
        <v>27.548210000000001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79.065412740037743</v>
      </c>
      <c r="M243">
        <v>77.48</v>
      </c>
      <c r="N243">
        <v>91.5</v>
      </c>
      <c r="O243">
        <v>0.85</v>
      </c>
      <c r="P243">
        <v>43.82</v>
      </c>
      <c r="Q243">
        <v>39.419999773132311</v>
      </c>
      <c r="R243">
        <v>0.39</v>
      </c>
      <c r="S243">
        <v>32.18</v>
      </c>
      <c r="T243">
        <v>7.37</v>
      </c>
      <c r="U243">
        <v>5.0096112717691659</v>
      </c>
      <c r="V243">
        <v>13.610701477266691</v>
      </c>
      <c r="W243">
        <v>59.800978047599543</v>
      </c>
      <c r="X243">
        <v>11.412644300144301</v>
      </c>
      <c r="Y243">
        <v>4.4552920679671031</v>
      </c>
      <c r="Z243">
        <v>1844.264590194228</v>
      </c>
      <c r="AA243">
        <v>1148.7679000444</v>
      </c>
    </row>
    <row r="244" spans="1:27" hidden="1">
      <c r="A244">
        <v>65</v>
      </c>
      <c r="B244">
        <v>1</v>
      </c>
      <c r="C244">
        <v>21.989892999999999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1</v>
      </c>
      <c r="K244">
        <v>1</v>
      </c>
      <c r="L244">
        <v>67.393878848003865</v>
      </c>
      <c r="M244">
        <v>31.43</v>
      </c>
      <c r="N244">
        <v>87.26</v>
      </c>
      <c r="O244">
        <v>0.36</v>
      </c>
      <c r="P244">
        <v>31.22</v>
      </c>
      <c r="Q244">
        <v>26.805782959294259</v>
      </c>
      <c r="R244">
        <v>0.21</v>
      </c>
      <c r="S244">
        <v>28.75</v>
      </c>
      <c r="T244">
        <v>3.47</v>
      </c>
      <c r="U244">
        <v>9.5255104617604633</v>
      </c>
      <c r="V244">
        <v>19.138252692925221</v>
      </c>
      <c r="W244">
        <v>70.148575396825407</v>
      </c>
      <c r="X244">
        <v>12.56170836999258</v>
      </c>
      <c r="Y244">
        <v>10.15508228715729</v>
      </c>
      <c r="Z244">
        <v>1085.662573346244</v>
      </c>
      <c r="AA244">
        <v>551.9589043505066</v>
      </c>
    </row>
    <row r="245" spans="1:27">
      <c r="A245">
        <v>33</v>
      </c>
      <c r="B245">
        <v>1</v>
      </c>
      <c r="C245">
        <v>26.989619999999999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67.406968247209235</v>
      </c>
      <c r="M245">
        <v>846.63</v>
      </c>
      <c r="N245">
        <v>857.35</v>
      </c>
      <c r="O245">
        <v>0.99</v>
      </c>
      <c r="P245">
        <v>164.76</v>
      </c>
      <c r="Q245">
        <v>43.414253396731247</v>
      </c>
      <c r="R245">
        <v>0.73</v>
      </c>
      <c r="S245">
        <v>32.840000000000003</v>
      </c>
      <c r="T245">
        <v>19.72</v>
      </c>
      <c r="U245">
        <v>10.746452075702081</v>
      </c>
      <c r="V245">
        <v>26.336853174603171</v>
      </c>
      <c r="W245">
        <v>59.847720552163238</v>
      </c>
      <c r="X245">
        <v>19.78889434815121</v>
      </c>
      <c r="Y245">
        <v>17.887847041847049</v>
      </c>
      <c r="Z245">
        <v>5203.1791984126994</v>
      </c>
      <c r="AA245">
        <v>2068.7858894279611</v>
      </c>
    </row>
    <row r="246" spans="1:27">
      <c r="A246">
        <v>37</v>
      </c>
      <c r="B246">
        <v>0</v>
      </c>
      <c r="C246">
        <v>25.203980999999999</v>
      </c>
      <c r="D246">
        <v>0</v>
      </c>
      <c r="E246">
        <v>0</v>
      </c>
      <c r="F246">
        <v>1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81.295517273343364</v>
      </c>
      <c r="M246">
        <v>75.53</v>
      </c>
      <c r="N246">
        <v>59.84</v>
      </c>
      <c r="O246">
        <v>1.26</v>
      </c>
      <c r="P246">
        <v>42.78</v>
      </c>
      <c r="Q246">
        <v>43.947424885665832</v>
      </c>
      <c r="R246">
        <v>0.48</v>
      </c>
      <c r="S246">
        <v>32.15</v>
      </c>
      <c r="T246">
        <v>6.99</v>
      </c>
      <c r="U246">
        <v>12.146063958916899</v>
      </c>
      <c r="V246">
        <v>28.43902449933519</v>
      </c>
      <c r="W246">
        <v>70.270640850250686</v>
      </c>
      <c r="X246">
        <v>23.809323566884821</v>
      </c>
      <c r="Y246">
        <v>19.406085164835169</v>
      </c>
      <c r="Z246">
        <v>1874.6281867550749</v>
      </c>
      <c r="AA246">
        <v>1139.8578661616159</v>
      </c>
    </row>
    <row r="247" spans="1:27" hidden="1">
      <c r="A247">
        <v>61</v>
      </c>
      <c r="B247">
        <v>1</v>
      </c>
      <c r="C247">
        <v>22.100290000000001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63.357482722832728</v>
      </c>
      <c r="M247">
        <v>32.18</v>
      </c>
      <c r="N247">
        <v>55.82</v>
      </c>
      <c r="O247">
        <v>0.57999999999999996</v>
      </c>
      <c r="P247">
        <v>107.64</v>
      </c>
      <c r="Q247">
        <v>36.225007587930968</v>
      </c>
      <c r="R247">
        <v>0.69</v>
      </c>
      <c r="S247">
        <v>31.82</v>
      </c>
      <c r="T247">
        <v>6.49</v>
      </c>
      <c r="U247">
        <v>4.1781807065483534</v>
      </c>
      <c r="V247">
        <v>14.788397900972139</v>
      </c>
      <c r="W247">
        <v>62.17110787715044</v>
      </c>
      <c r="X247">
        <v>6.0660552998379096</v>
      </c>
      <c r="Y247">
        <v>3.9200225600761121</v>
      </c>
      <c r="Z247">
        <v>3720.1822936507938</v>
      </c>
      <c r="AA247">
        <v>2122.0229997918741</v>
      </c>
    </row>
    <row r="248" spans="1:27">
      <c r="A248">
        <v>28</v>
      </c>
      <c r="B248">
        <v>0</v>
      </c>
      <c r="C248">
        <v>29.031790000000001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77.844156746031743</v>
      </c>
      <c r="M248">
        <v>1026.03</v>
      </c>
      <c r="N248">
        <v>3003.99</v>
      </c>
      <c r="O248">
        <v>0.34</v>
      </c>
      <c r="P248">
        <v>233.19</v>
      </c>
      <c r="Q248">
        <v>33.102388640354768</v>
      </c>
      <c r="R248">
        <v>1.52</v>
      </c>
      <c r="S248">
        <v>34.47</v>
      </c>
      <c r="T248">
        <v>80.709999999999994</v>
      </c>
      <c r="U248">
        <v>12.543360134963081</v>
      </c>
      <c r="V248">
        <v>27.46994047619048</v>
      </c>
      <c r="W248">
        <v>60.072060989503683</v>
      </c>
      <c r="X248">
        <v>22.765781690531689</v>
      </c>
      <c r="Y248">
        <v>18.687259601509599</v>
      </c>
      <c r="Z248">
        <v>16058.529948412701</v>
      </c>
      <c r="AA248">
        <v>4763.109143825508</v>
      </c>
    </row>
    <row r="249" spans="1:27">
      <c r="A249">
        <v>28</v>
      </c>
      <c r="B249">
        <v>0</v>
      </c>
      <c r="C249">
        <v>17.419073000000001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71.324670813749378</v>
      </c>
      <c r="M249">
        <v>519.66</v>
      </c>
      <c r="N249">
        <v>530.54</v>
      </c>
      <c r="O249">
        <v>0.98</v>
      </c>
      <c r="P249">
        <v>173.18</v>
      </c>
      <c r="Q249">
        <v>50.142760343080667</v>
      </c>
      <c r="R249">
        <v>0.3</v>
      </c>
      <c r="S249">
        <v>27.16</v>
      </c>
      <c r="T249">
        <v>23.89</v>
      </c>
      <c r="U249">
        <v>11.51273901098901</v>
      </c>
      <c r="V249">
        <v>23.467123015873021</v>
      </c>
      <c r="W249">
        <v>57.00727835249544</v>
      </c>
      <c r="X249">
        <v>24.79322619047619</v>
      </c>
      <c r="Y249">
        <v>18.759631701631701</v>
      </c>
      <c r="Z249">
        <v>5449.5374166666661</v>
      </c>
      <c r="AA249">
        <v>2323.8538286435778</v>
      </c>
    </row>
    <row r="250" spans="1:27">
      <c r="A250">
        <v>55</v>
      </c>
      <c r="B250">
        <v>0</v>
      </c>
      <c r="C250">
        <v>27.016860000000001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63.794928452578489</v>
      </c>
      <c r="M250">
        <v>252.82</v>
      </c>
      <c r="N250">
        <v>488.4</v>
      </c>
      <c r="O250">
        <v>0.52</v>
      </c>
      <c r="P250">
        <v>79.66</v>
      </c>
      <c r="Q250">
        <v>31.502357224882719</v>
      </c>
      <c r="R250">
        <v>0.52</v>
      </c>
      <c r="S250">
        <v>33.4</v>
      </c>
      <c r="T250">
        <v>18.84</v>
      </c>
      <c r="U250">
        <v>11.899796642899579</v>
      </c>
      <c r="V250">
        <v>27.757943609022561</v>
      </c>
      <c r="W250">
        <v>61.53790877828181</v>
      </c>
      <c r="X250">
        <v>24.98249814135669</v>
      </c>
      <c r="Y250">
        <v>22.903593822843821</v>
      </c>
      <c r="Z250">
        <v>4490.8232103174614</v>
      </c>
      <c r="AA250">
        <v>2211.8971944913419</v>
      </c>
    </row>
    <row r="251" spans="1:27" hidden="1">
      <c r="A251">
        <v>58</v>
      </c>
      <c r="B251">
        <v>0</v>
      </c>
      <c r="C251">
        <v>20.957273000000001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75.757610217077584</v>
      </c>
      <c r="M251">
        <v>31.33</v>
      </c>
      <c r="N251">
        <v>44.11</v>
      </c>
      <c r="O251">
        <v>0.71</v>
      </c>
      <c r="P251">
        <v>23.04</v>
      </c>
      <c r="Q251">
        <v>40.747461930452623</v>
      </c>
      <c r="R251">
        <v>0.15</v>
      </c>
      <c r="S251">
        <v>28.12</v>
      </c>
      <c r="T251">
        <v>1.18</v>
      </c>
      <c r="U251">
        <v>6.3474056745542029</v>
      </c>
      <c r="V251">
        <v>14.526950337102511</v>
      </c>
      <c r="W251">
        <v>55.067702590800423</v>
      </c>
      <c r="X251">
        <v>13.42308883952305</v>
      </c>
      <c r="Y251">
        <v>6.863686993561994</v>
      </c>
      <c r="Z251">
        <v>740.58042155833652</v>
      </c>
      <c r="AA251">
        <v>387.38601372419851</v>
      </c>
    </row>
    <row r="252" spans="1:27" hidden="1">
      <c r="A252">
        <v>27</v>
      </c>
      <c r="B252">
        <v>1</v>
      </c>
      <c r="C252">
        <v>26.173832000000001</v>
      </c>
      <c r="D252">
        <v>0</v>
      </c>
      <c r="E252">
        <v>0</v>
      </c>
      <c r="F252">
        <v>0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75.582752705627712</v>
      </c>
      <c r="M252">
        <v>303.06</v>
      </c>
      <c r="N252">
        <v>90.16</v>
      </c>
      <c r="O252">
        <v>3.36</v>
      </c>
      <c r="P252">
        <v>58.33</v>
      </c>
      <c r="Q252">
        <v>68.739556745377882</v>
      </c>
      <c r="R252">
        <v>2.2200000000000002</v>
      </c>
      <c r="S252">
        <v>28.65</v>
      </c>
      <c r="T252">
        <v>12.38</v>
      </c>
      <c r="U252">
        <v>11.633936507936509</v>
      </c>
      <c r="V252">
        <v>25.688638888888889</v>
      </c>
      <c r="W252">
        <v>56.236461766363057</v>
      </c>
      <c r="X252">
        <v>18.956946623981452</v>
      </c>
      <c r="Y252">
        <v>15.790889804639811</v>
      </c>
      <c r="Z252">
        <v>3121.02806453634</v>
      </c>
      <c r="AA252">
        <v>1870.336578754579</v>
      </c>
    </row>
    <row r="253" spans="1:27" hidden="1">
      <c r="A253">
        <v>21</v>
      </c>
      <c r="B253">
        <v>1</v>
      </c>
      <c r="C253">
        <v>24.391058000000001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72.095342783296346</v>
      </c>
      <c r="M253">
        <v>120.43</v>
      </c>
      <c r="N253">
        <v>352.28</v>
      </c>
      <c r="O253">
        <v>0.34</v>
      </c>
      <c r="P253">
        <v>72.14</v>
      </c>
      <c r="Q253">
        <v>25.233567607952018</v>
      </c>
      <c r="R253">
        <v>0.33</v>
      </c>
      <c r="S253">
        <v>33.619999999999997</v>
      </c>
      <c r="T253">
        <v>8.34</v>
      </c>
      <c r="U253">
        <v>9.8979985569985587</v>
      </c>
      <c r="V253">
        <v>19.092896103896109</v>
      </c>
      <c r="W253">
        <v>63.150001837737562</v>
      </c>
      <c r="X253">
        <v>14.700980158730159</v>
      </c>
      <c r="Y253">
        <v>8.0050793650793679</v>
      </c>
      <c r="Z253">
        <v>4042.2087777777779</v>
      </c>
      <c r="AA253">
        <v>1668.841908055555</v>
      </c>
    </row>
    <row r="254" spans="1:27">
      <c r="A254">
        <v>23</v>
      </c>
      <c r="B254">
        <v>1</v>
      </c>
      <c r="C254">
        <v>24.89706</v>
      </c>
      <c r="D254">
        <v>0</v>
      </c>
      <c r="E254">
        <v>0</v>
      </c>
      <c r="F254">
        <v>1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72.426523043448583</v>
      </c>
      <c r="M254">
        <v>77.37</v>
      </c>
      <c r="N254">
        <v>144.63999999999999</v>
      </c>
      <c r="O254">
        <v>0.53</v>
      </c>
      <c r="P254">
        <v>48.05</v>
      </c>
      <c r="Q254">
        <v>30.837010563626539</v>
      </c>
      <c r="R254">
        <v>0.53</v>
      </c>
      <c r="S254">
        <v>31.3</v>
      </c>
      <c r="T254">
        <v>5.89</v>
      </c>
      <c r="U254">
        <v>13.399871848739499</v>
      </c>
      <c r="V254">
        <v>23.051187378123071</v>
      </c>
      <c r="W254">
        <v>57.452018141627562</v>
      </c>
      <c r="X254">
        <v>24.57468804587225</v>
      </c>
      <c r="Y254">
        <v>20.063242812742811</v>
      </c>
      <c r="Z254">
        <v>2210.434321456321</v>
      </c>
      <c r="AA254">
        <v>1205.955321428572</v>
      </c>
    </row>
    <row r="255" spans="1:27" hidden="1">
      <c r="A255">
        <v>55</v>
      </c>
      <c r="B255">
        <v>1</v>
      </c>
      <c r="C255">
        <v>20.703125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78.434740087207459</v>
      </c>
      <c r="M255">
        <v>7.85</v>
      </c>
      <c r="N255">
        <v>19.309999999999999</v>
      </c>
      <c r="O255">
        <v>0.41</v>
      </c>
      <c r="P255">
        <v>20.07</v>
      </c>
      <c r="Q255">
        <v>56.224111154185408</v>
      </c>
      <c r="R255">
        <v>0.28000000000000003</v>
      </c>
      <c r="S255">
        <v>30.6</v>
      </c>
      <c r="T255">
        <v>7.37</v>
      </c>
      <c r="U255">
        <v>6.8876053846111516</v>
      </c>
      <c r="V255">
        <v>16.128631590631588</v>
      </c>
      <c r="W255">
        <v>55.245936649789918</v>
      </c>
      <c r="X255">
        <v>12.37974473362895</v>
      </c>
      <c r="Y255">
        <v>7.924535212077898</v>
      </c>
      <c r="Z255">
        <v>539.11601384726418</v>
      </c>
      <c r="AA255">
        <v>244.01204238816729</v>
      </c>
    </row>
    <row r="256" spans="1:27" hidden="1">
      <c r="A256">
        <v>46</v>
      </c>
      <c r="B256">
        <v>0</v>
      </c>
      <c r="C256">
        <v>20.504933999999999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84.111728836743865</v>
      </c>
      <c r="M256">
        <v>1833.06</v>
      </c>
      <c r="N256">
        <v>2592.83</v>
      </c>
      <c r="O256">
        <v>0.71</v>
      </c>
      <c r="P256">
        <v>203.72</v>
      </c>
      <c r="Q256">
        <v>26.815866899062041</v>
      </c>
      <c r="R256">
        <v>0.22</v>
      </c>
      <c r="S256">
        <v>30.11</v>
      </c>
      <c r="T256">
        <v>35.630000000000003</v>
      </c>
      <c r="U256">
        <v>11.21626953601954</v>
      </c>
      <c r="V256">
        <v>26.87113372446267</v>
      </c>
      <c r="W256">
        <v>59.351139354373217</v>
      </c>
      <c r="X256">
        <v>19.040432715039099</v>
      </c>
      <c r="Y256">
        <v>14.708881959706961</v>
      </c>
      <c r="Z256">
        <v>16784.950888888889</v>
      </c>
      <c r="AA256">
        <v>3663.7337373737369</v>
      </c>
    </row>
    <row r="257" spans="1:27">
      <c r="A257">
        <v>63</v>
      </c>
      <c r="B257">
        <v>1</v>
      </c>
      <c r="C257">
        <v>23.671253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76.757082946815103</v>
      </c>
      <c r="M257">
        <v>4962.93</v>
      </c>
      <c r="N257">
        <v>6129.72</v>
      </c>
      <c r="O257">
        <v>0.81</v>
      </c>
      <c r="P257">
        <v>294.89</v>
      </c>
      <c r="Q257">
        <v>23.499629881906611</v>
      </c>
      <c r="R257">
        <v>0.72</v>
      </c>
      <c r="S257">
        <v>30.94</v>
      </c>
      <c r="T257">
        <v>23.4</v>
      </c>
      <c r="U257">
        <v>12.24471642246642</v>
      </c>
      <c r="V257">
        <v>25.284630952380951</v>
      </c>
      <c r="W257">
        <v>58.341386642109619</v>
      </c>
      <c r="X257">
        <v>24.348010596737559</v>
      </c>
      <c r="Y257">
        <v>22.10218326118326</v>
      </c>
      <c r="Z257">
        <v>24003.600345598839</v>
      </c>
      <c r="AA257">
        <v>4543.1879914285701</v>
      </c>
    </row>
    <row r="258" spans="1:27" hidden="1">
      <c r="A258">
        <v>48</v>
      </c>
      <c r="B258">
        <v>0</v>
      </c>
      <c r="C258">
        <v>28.685144000000001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66.770030307341372</v>
      </c>
      <c r="M258">
        <v>505.38</v>
      </c>
      <c r="N258">
        <v>701.31</v>
      </c>
      <c r="O258">
        <v>0.72</v>
      </c>
      <c r="P258">
        <v>123.37</v>
      </c>
      <c r="Q258">
        <v>37.361293996488868</v>
      </c>
      <c r="R258">
        <v>0.28000000000000003</v>
      </c>
      <c r="S258">
        <v>33.270000000000003</v>
      </c>
      <c r="T258">
        <v>15.12</v>
      </c>
      <c r="U258">
        <v>10.30159401709402</v>
      </c>
      <c r="V258">
        <v>27.821082137161088</v>
      </c>
      <c r="W258">
        <v>63.925866982690508</v>
      </c>
      <c r="X258">
        <v>20.294122482444038</v>
      </c>
      <c r="Y258">
        <v>17.982445346320361</v>
      </c>
      <c r="Z258">
        <v>5256.3652222222227</v>
      </c>
      <c r="AA258">
        <v>2080.0187471343088</v>
      </c>
    </row>
    <row r="259" spans="1:27" hidden="1">
      <c r="A259">
        <v>42</v>
      </c>
      <c r="B259">
        <v>1</v>
      </c>
      <c r="C259">
        <v>27.166920000000001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80.47339439563703</v>
      </c>
      <c r="M259">
        <v>51.69</v>
      </c>
      <c r="N259">
        <v>13.72</v>
      </c>
      <c r="O259">
        <v>3.77</v>
      </c>
      <c r="P259">
        <v>26.74</v>
      </c>
      <c r="Q259">
        <v>67.998025622624425</v>
      </c>
      <c r="R259">
        <v>0.36</v>
      </c>
      <c r="S259">
        <v>33.14</v>
      </c>
      <c r="T259">
        <v>3.66</v>
      </c>
      <c r="U259">
        <v>4.7897196134275069</v>
      </c>
      <c r="V259">
        <v>12.135704372339051</v>
      </c>
      <c r="W259">
        <v>61.72205445538205</v>
      </c>
      <c r="X259">
        <v>9.5728189033189039</v>
      </c>
      <c r="Y259">
        <v>2.630857692061507</v>
      </c>
      <c r="Z259">
        <v>690.78595923531987</v>
      </c>
      <c r="AA259">
        <v>466.66745642890811</v>
      </c>
    </row>
    <row r="260" spans="1:27" hidden="1">
      <c r="A260">
        <v>37</v>
      </c>
      <c r="B260">
        <v>0</v>
      </c>
      <c r="C260">
        <v>23.711845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83.671599095349109</v>
      </c>
      <c r="M260">
        <v>368.81</v>
      </c>
      <c r="N260">
        <v>31.77</v>
      </c>
      <c r="O260">
        <v>11.61</v>
      </c>
      <c r="P260">
        <v>51.15</v>
      </c>
      <c r="Q260">
        <v>79.279028512200213</v>
      </c>
      <c r="R260">
        <v>0.28000000000000003</v>
      </c>
      <c r="S260">
        <v>33.19</v>
      </c>
      <c r="T260">
        <v>12.09</v>
      </c>
      <c r="U260">
        <v>5.7624356644104724</v>
      </c>
      <c r="V260">
        <v>16.818474469974468</v>
      </c>
      <c r="W260">
        <v>62.439610046552957</v>
      </c>
      <c r="X260">
        <v>10.320246753246749</v>
      </c>
      <c r="Y260">
        <v>5.4320861750038576</v>
      </c>
      <c r="Z260">
        <v>2771.6487802197789</v>
      </c>
      <c r="AA260">
        <v>1416.5528888888889</v>
      </c>
    </row>
    <row r="261" spans="1:27" hidden="1">
      <c r="A261">
        <v>54</v>
      </c>
      <c r="B261">
        <v>0</v>
      </c>
      <c r="C261">
        <v>24.910767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65.128665756916021</v>
      </c>
      <c r="M261">
        <v>46.72</v>
      </c>
      <c r="N261">
        <v>111.07</v>
      </c>
      <c r="O261">
        <v>0.42</v>
      </c>
      <c r="P261">
        <v>37.82</v>
      </c>
      <c r="Q261">
        <v>28.811217402407529</v>
      </c>
      <c r="R261">
        <v>0.14000000000000001</v>
      </c>
      <c r="S261">
        <v>30.33</v>
      </c>
      <c r="T261">
        <v>5.22</v>
      </c>
      <c r="U261">
        <v>6.9279580564920744</v>
      </c>
      <c r="V261">
        <v>13.62850639457162</v>
      </c>
      <c r="W261">
        <v>55.459084139465268</v>
      </c>
      <c r="X261">
        <v>10.1642766955267</v>
      </c>
      <c r="Y261">
        <v>5.7294649933399926</v>
      </c>
      <c r="Z261">
        <v>1550.2098293650799</v>
      </c>
      <c r="AA261">
        <v>1025.724834748585</v>
      </c>
    </row>
    <row r="262" spans="1:27" hidden="1">
      <c r="A262">
        <v>29</v>
      </c>
      <c r="B262">
        <v>0</v>
      </c>
      <c r="C262">
        <v>20.568805999999999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75.540098026242759</v>
      </c>
      <c r="M262">
        <v>157.76</v>
      </c>
      <c r="N262">
        <v>93.54</v>
      </c>
      <c r="O262">
        <v>1.69</v>
      </c>
      <c r="P262">
        <v>60.14</v>
      </c>
      <c r="Q262">
        <v>51.249344214091003</v>
      </c>
      <c r="R262">
        <v>0.32</v>
      </c>
      <c r="S262">
        <v>34.11</v>
      </c>
      <c r="T262">
        <v>9.31</v>
      </c>
      <c r="U262">
        <v>5.3267685019658693</v>
      </c>
      <c r="V262">
        <v>12.843927183927191</v>
      </c>
      <c r="W262">
        <v>61.16193276336918</v>
      </c>
      <c r="X262">
        <v>12.3446810966811</v>
      </c>
      <c r="Y262">
        <v>3.1623837845092089</v>
      </c>
      <c r="Z262">
        <v>3699.640551587303</v>
      </c>
      <c r="AA262">
        <v>2002.958076452991</v>
      </c>
    </row>
    <row r="263" spans="1:27">
      <c r="A263">
        <v>53</v>
      </c>
      <c r="B263">
        <v>0</v>
      </c>
      <c r="C263">
        <v>16.796875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69.838619903516971</v>
      </c>
      <c r="M263">
        <v>22.92</v>
      </c>
      <c r="N263">
        <v>24.83</v>
      </c>
      <c r="O263">
        <v>0.92</v>
      </c>
      <c r="P263">
        <v>31.26</v>
      </c>
      <c r="Q263">
        <v>49.073688644726623</v>
      </c>
      <c r="R263">
        <v>0.1</v>
      </c>
      <c r="S263">
        <v>28.62</v>
      </c>
      <c r="T263">
        <v>3.37</v>
      </c>
      <c r="U263">
        <v>12.1073373015873</v>
      </c>
      <c r="V263">
        <v>19.621967893217899</v>
      </c>
      <c r="W263">
        <v>52.542848484848477</v>
      </c>
      <c r="X263">
        <v>24.560356516290732</v>
      </c>
      <c r="Y263">
        <v>19.85544047619047</v>
      </c>
      <c r="Z263">
        <v>1129.755179587225</v>
      </c>
      <c r="AA263">
        <v>596.91758106605562</v>
      </c>
    </row>
    <row r="264" spans="1:27" hidden="1">
      <c r="A264">
        <v>41</v>
      </c>
      <c r="B264">
        <v>0</v>
      </c>
      <c r="C264">
        <v>27.053802000000001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69.83094848301134</v>
      </c>
      <c r="M264">
        <v>117.51</v>
      </c>
      <c r="N264">
        <v>163.03</v>
      </c>
      <c r="O264">
        <v>0.72</v>
      </c>
      <c r="P264">
        <v>62.3</v>
      </c>
      <c r="Q264">
        <v>37.956016136692298</v>
      </c>
      <c r="R264">
        <v>0.37</v>
      </c>
      <c r="S264">
        <v>33.06</v>
      </c>
      <c r="T264">
        <v>5.81</v>
      </c>
      <c r="U264">
        <v>5.034196163313811</v>
      </c>
      <c r="V264">
        <v>15.42484771437713</v>
      </c>
      <c r="W264">
        <v>59.58384721089238</v>
      </c>
      <c r="X264">
        <v>10.85598665223665</v>
      </c>
      <c r="Y264">
        <v>4.2984467866144698</v>
      </c>
      <c r="Z264">
        <v>3525.2710833333331</v>
      </c>
      <c r="AA264">
        <v>1951.64149104945</v>
      </c>
    </row>
    <row r="265" spans="1:27" hidden="1">
      <c r="A265">
        <v>31</v>
      </c>
      <c r="B265">
        <v>0</v>
      </c>
      <c r="C265">
        <v>21.359306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70.694450007175618</v>
      </c>
      <c r="M265">
        <v>86.1</v>
      </c>
      <c r="N265">
        <v>231.69</v>
      </c>
      <c r="O265">
        <v>0.37</v>
      </c>
      <c r="P265">
        <v>66.59</v>
      </c>
      <c r="Q265">
        <v>27.67101801927793</v>
      </c>
      <c r="R265">
        <v>0.22</v>
      </c>
      <c r="S265">
        <v>25.79</v>
      </c>
      <c r="T265">
        <v>11.92</v>
      </c>
      <c r="U265">
        <v>6.8543558327637264</v>
      </c>
      <c r="V265">
        <v>16.264065266312631</v>
      </c>
      <c r="W265">
        <v>52.379744511823922</v>
      </c>
      <c r="X265">
        <v>12.49340476190476</v>
      </c>
      <c r="Y265">
        <v>4.6656528721955546</v>
      </c>
      <c r="Z265">
        <v>3991.4084246031748</v>
      </c>
      <c r="AA265">
        <v>1659.3870235238101</v>
      </c>
    </row>
    <row r="266" spans="1:27" hidden="1">
      <c r="A266">
        <v>50</v>
      </c>
      <c r="B266">
        <v>1</v>
      </c>
      <c r="C266">
        <v>23.781213999999999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62.865385858998287</v>
      </c>
      <c r="M266">
        <v>220.96</v>
      </c>
      <c r="N266">
        <v>579.64</v>
      </c>
      <c r="O266">
        <v>0.38</v>
      </c>
      <c r="P266">
        <v>112.06</v>
      </c>
      <c r="Q266">
        <v>27.712214999094879</v>
      </c>
      <c r="R266">
        <v>0.77</v>
      </c>
      <c r="S266">
        <v>31.27</v>
      </c>
      <c r="T266">
        <v>14.3</v>
      </c>
      <c r="U266">
        <v>3.3350660713555449</v>
      </c>
      <c r="V266">
        <v>13.86313627735611</v>
      </c>
      <c r="W266">
        <v>52.050708371045907</v>
      </c>
      <c r="X266">
        <v>5.5751280347207421</v>
      </c>
      <c r="Y266">
        <v>2.0927695698400739</v>
      </c>
      <c r="Z266">
        <v>4504.8634841269841</v>
      </c>
      <c r="AA266">
        <v>2157.846904103897</v>
      </c>
    </row>
    <row r="267" spans="1:27" hidden="1">
      <c r="A267">
        <v>36</v>
      </c>
      <c r="B267">
        <v>0</v>
      </c>
      <c r="C267">
        <v>18.365473000000001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77.018944935979448</v>
      </c>
      <c r="M267">
        <v>42.51</v>
      </c>
      <c r="N267">
        <v>145.12</v>
      </c>
      <c r="O267">
        <v>0.28999999999999998</v>
      </c>
      <c r="P267">
        <v>43.14</v>
      </c>
      <c r="Q267">
        <v>25.66161061938416</v>
      </c>
      <c r="R267">
        <v>0.21</v>
      </c>
      <c r="S267">
        <v>28.21</v>
      </c>
      <c r="T267">
        <v>9.4700000000000006</v>
      </c>
      <c r="U267">
        <v>11.189480158730159</v>
      </c>
      <c r="V267">
        <v>15.2516158008658</v>
      </c>
      <c r="W267">
        <v>53.741540876262</v>
      </c>
      <c r="X267">
        <v>20.147348701882908</v>
      </c>
      <c r="Y267">
        <v>16.340193001443001</v>
      </c>
      <c r="Z267">
        <v>1891.458670497258</v>
      </c>
      <c r="AA267">
        <v>922.74149494949461</v>
      </c>
    </row>
    <row r="268" spans="1:27" hidden="1">
      <c r="A268">
        <v>42</v>
      </c>
      <c r="B268">
        <v>0</v>
      </c>
      <c r="C268">
        <v>23.30668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65.63082082650466</v>
      </c>
      <c r="M268">
        <v>407.18</v>
      </c>
      <c r="N268">
        <v>721.89</v>
      </c>
      <c r="O268">
        <v>0.56000000000000005</v>
      </c>
      <c r="P268">
        <v>92.28</v>
      </c>
      <c r="Q268">
        <v>36.937662912604559</v>
      </c>
      <c r="R268">
        <v>0.08</v>
      </c>
      <c r="S268">
        <v>29.01</v>
      </c>
      <c r="T268">
        <v>17.29</v>
      </c>
      <c r="U268">
        <v>5.0704646170822647</v>
      </c>
      <c r="V268">
        <v>15.471589131336501</v>
      </c>
      <c r="W268">
        <v>54.171812365368837</v>
      </c>
      <c r="X268">
        <v>10.246252525252521</v>
      </c>
      <c r="Y268">
        <v>4.6858154457331276</v>
      </c>
      <c r="Z268">
        <v>4892.9362579365079</v>
      </c>
      <c r="AA268">
        <v>2283.9953399134201</v>
      </c>
    </row>
    <row r="269" spans="1:27">
      <c r="A269">
        <v>56</v>
      </c>
      <c r="B269">
        <v>0</v>
      </c>
      <c r="C269">
        <v>22.313278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81.222262776506483</v>
      </c>
      <c r="M269">
        <v>21.72</v>
      </c>
      <c r="N269">
        <v>14.61</v>
      </c>
      <c r="O269">
        <v>1.49</v>
      </c>
      <c r="P269">
        <v>21.14</v>
      </c>
      <c r="Q269">
        <v>53.739020230685767</v>
      </c>
      <c r="R269">
        <v>0.22</v>
      </c>
      <c r="S269">
        <v>34.159999999999997</v>
      </c>
      <c r="T269">
        <v>3.27</v>
      </c>
      <c r="U269">
        <v>11.11400036075036</v>
      </c>
      <c r="V269">
        <v>25.090698142943051</v>
      </c>
      <c r="W269">
        <v>65.200284749034751</v>
      </c>
      <c r="X269">
        <v>28.845097274973551</v>
      </c>
      <c r="Y269">
        <v>23.00612878787879</v>
      </c>
      <c r="Z269">
        <v>648.35120500169774</v>
      </c>
      <c r="AA269">
        <v>250.4300991647242</v>
      </c>
    </row>
    <row r="270" spans="1:27" hidden="1">
      <c r="A270">
        <v>56</v>
      </c>
      <c r="B270">
        <v>0</v>
      </c>
      <c r="C270">
        <v>27.005130000000001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63.129663297805749</v>
      </c>
      <c r="M270">
        <v>55.52</v>
      </c>
      <c r="N270">
        <v>218.01</v>
      </c>
      <c r="O270">
        <v>0.25</v>
      </c>
      <c r="P270">
        <v>63.51</v>
      </c>
      <c r="Q270">
        <v>26.066563849612091</v>
      </c>
      <c r="R270">
        <v>0.24</v>
      </c>
      <c r="S270">
        <v>34.76</v>
      </c>
      <c r="T270">
        <v>5.73</v>
      </c>
      <c r="U270">
        <v>5.8182237484737493</v>
      </c>
      <c r="V270">
        <v>17.68592533675476</v>
      </c>
      <c r="W270">
        <v>60.288590318661811</v>
      </c>
      <c r="X270">
        <v>10.852646825396819</v>
      </c>
      <c r="Y270">
        <v>5.3528047369297376</v>
      </c>
      <c r="Z270">
        <v>3475.7051666666671</v>
      </c>
      <c r="AA270">
        <v>1540.6980767301591</v>
      </c>
    </row>
    <row r="271" spans="1:27">
      <c r="A271">
        <v>25</v>
      </c>
      <c r="B271">
        <v>0</v>
      </c>
      <c r="C271">
        <v>20.028841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75.400609262510955</v>
      </c>
      <c r="M271">
        <v>30.18</v>
      </c>
      <c r="N271">
        <v>167.75</v>
      </c>
      <c r="O271">
        <v>0.18</v>
      </c>
      <c r="P271">
        <v>41.32</v>
      </c>
      <c r="Q271">
        <v>28.306891757707731</v>
      </c>
      <c r="R271">
        <v>0.28999999999999998</v>
      </c>
      <c r="S271">
        <v>33.229999999999997</v>
      </c>
      <c r="T271">
        <v>5.6</v>
      </c>
      <c r="U271">
        <v>12.00242857142857</v>
      </c>
      <c r="V271">
        <v>28.52760966417036</v>
      </c>
      <c r="W271">
        <v>64.125740764037985</v>
      </c>
      <c r="X271">
        <v>26.460402742095582</v>
      </c>
      <c r="Y271">
        <v>20.697898656898658</v>
      </c>
      <c r="Z271">
        <v>1894.8379853120739</v>
      </c>
      <c r="AA271">
        <v>918.52642243867217</v>
      </c>
    </row>
    <row r="272" spans="1:27" hidden="1">
      <c r="A272">
        <v>44</v>
      </c>
      <c r="B272">
        <v>0</v>
      </c>
      <c r="C272">
        <v>26.233557000000001</v>
      </c>
      <c r="D272">
        <v>0</v>
      </c>
      <c r="E272">
        <v>1</v>
      </c>
      <c r="F272">
        <v>0</v>
      </c>
      <c r="G272">
        <v>1</v>
      </c>
      <c r="H272">
        <v>1</v>
      </c>
      <c r="I272">
        <v>0</v>
      </c>
      <c r="J272">
        <v>0</v>
      </c>
      <c r="K272">
        <v>0</v>
      </c>
      <c r="L272">
        <v>69.60336556417441</v>
      </c>
      <c r="M272">
        <v>545.63</v>
      </c>
      <c r="N272">
        <v>1263.57</v>
      </c>
      <c r="O272">
        <v>0.43</v>
      </c>
      <c r="P272">
        <v>141.57</v>
      </c>
      <c r="Q272">
        <v>27.930138321529661</v>
      </c>
      <c r="R272">
        <v>0.17</v>
      </c>
      <c r="S272">
        <v>31.77</v>
      </c>
      <c r="T272">
        <v>24.12</v>
      </c>
      <c r="U272">
        <v>11.332017291532001</v>
      </c>
      <c r="V272">
        <v>34.5693506556796</v>
      </c>
      <c r="W272">
        <v>68.747462054087023</v>
      </c>
      <c r="X272">
        <v>24.408963561668411</v>
      </c>
      <c r="Y272">
        <v>23.51214177489177</v>
      </c>
      <c r="Z272">
        <v>5726.4439444444442</v>
      </c>
      <c r="AA272">
        <v>2103.5433373015881</v>
      </c>
    </row>
    <row r="273" spans="1:27" hidden="1">
      <c r="A273">
        <v>30</v>
      </c>
      <c r="B273">
        <v>1</v>
      </c>
      <c r="C273">
        <v>22.460032999999999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77.981784565580597</v>
      </c>
      <c r="M273">
        <v>152.75</v>
      </c>
      <c r="N273">
        <v>71.64</v>
      </c>
      <c r="O273">
        <v>2.13</v>
      </c>
      <c r="P273">
        <v>55.59</v>
      </c>
      <c r="Q273">
        <v>60.904279516158638</v>
      </c>
      <c r="R273">
        <v>0.55000000000000004</v>
      </c>
      <c r="S273">
        <v>28.1</v>
      </c>
      <c r="T273">
        <v>7.47</v>
      </c>
      <c r="U273">
        <v>9.0537545369875936</v>
      </c>
      <c r="V273">
        <v>21.003754034707981</v>
      </c>
      <c r="W273">
        <v>55.380584782692068</v>
      </c>
      <c r="X273">
        <v>12.142180241095341</v>
      </c>
      <c r="Y273">
        <v>10.830872130714811</v>
      </c>
      <c r="Z273">
        <v>2898.7396428191678</v>
      </c>
      <c r="AA273">
        <v>1954.362143913309</v>
      </c>
    </row>
    <row r="274" spans="1:27" hidden="1">
      <c r="A274">
        <v>25</v>
      </c>
      <c r="B274">
        <v>1</v>
      </c>
      <c r="C274">
        <v>22.675737000000002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66.430042503362458</v>
      </c>
      <c r="M274">
        <v>609.92999999999995</v>
      </c>
      <c r="N274">
        <v>868.17</v>
      </c>
      <c r="O274">
        <v>0.7</v>
      </c>
      <c r="P274">
        <v>107.22</v>
      </c>
      <c r="Q274">
        <v>42.856096972044298</v>
      </c>
      <c r="R274">
        <v>0.62</v>
      </c>
      <c r="S274">
        <v>24.37</v>
      </c>
      <c r="T274">
        <v>20.190000000000001</v>
      </c>
      <c r="U274">
        <v>4.0296532340208806</v>
      </c>
      <c r="V274">
        <v>14.183767358355141</v>
      </c>
      <c r="W274">
        <v>50.854820615664991</v>
      </c>
      <c r="X274">
        <v>10.72292552184657</v>
      </c>
      <c r="Y274">
        <v>3.005969988344988</v>
      </c>
      <c r="Z274">
        <v>4749.9176547619063</v>
      </c>
      <c r="AA274">
        <v>2393.280703246754</v>
      </c>
    </row>
    <row r="275" spans="1:27" hidden="1">
      <c r="A275">
        <v>21</v>
      </c>
      <c r="B275">
        <v>0</v>
      </c>
      <c r="C275">
        <v>21.096191000000001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90.874439096850878</v>
      </c>
      <c r="M275">
        <v>43.02</v>
      </c>
      <c r="N275">
        <v>23.19</v>
      </c>
      <c r="O275">
        <v>1.86</v>
      </c>
      <c r="P275">
        <v>29.39</v>
      </c>
      <c r="Q275">
        <v>55.911907978124027</v>
      </c>
      <c r="R275">
        <v>0.27</v>
      </c>
      <c r="S275">
        <v>33.840000000000003</v>
      </c>
      <c r="T275">
        <v>3.44</v>
      </c>
      <c r="U275">
        <v>12.689745310245311</v>
      </c>
      <c r="V275">
        <v>26.9609702064059</v>
      </c>
      <c r="W275">
        <v>65.58663048552755</v>
      </c>
      <c r="X275">
        <v>32.907262315270948</v>
      </c>
      <c r="Y275">
        <v>24.60125297619048</v>
      </c>
      <c r="Z275">
        <v>1054.08368001443</v>
      </c>
      <c r="AA275">
        <v>579.18395905944726</v>
      </c>
    </row>
    <row r="276" spans="1:27">
      <c r="A276">
        <v>27</v>
      </c>
      <c r="B276">
        <v>0</v>
      </c>
      <c r="C276">
        <v>26.298489</v>
      </c>
      <c r="D276">
        <v>0</v>
      </c>
      <c r="E276">
        <v>0</v>
      </c>
      <c r="F276">
        <v>1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76.779801599551192</v>
      </c>
      <c r="M276">
        <v>77.83</v>
      </c>
      <c r="N276">
        <v>81.569999999999993</v>
      </c>
      <c r="O276">
        <v>0.95</v>
      </c>
      <c r="P276">
        <v>48.57</v>
      </c>
      <c r="Q276">
        <v>40.349492267831558</v>
      </c>
      <c r="R276">
        <v>0.05</v>
      </c>
      <c r="S276">
        <v>32.61</v>
      </c>
      <c r="T276">
        <v>8.15</v>
      </c>
      <c r="U276">
        <v>11.96242693744165</v>
      </c>
      <c r="V276">
        <v>30.358927277112969</v>
      </c>
      <c r="W276">
        <v>69.821784347231699</v>
      </c>
      <c r="X276">
        <v>27.383650577593411</v>
      </c>
      <c r="Y276">
        <v>21.286708180708189</v>
      </c>
      <c r="Z276">
        <v>2644.421476218226</v>
      </c>
      <c r="AA276">
        <v>1400.8349603174599</v>
      </c>
    </row>
    <row r="277" spans="1:27" hidden="1">
      <c r="A277">
        <v>52</v>
      </c>
      <c r="B277">
        <v>0</v>
      </c>
      <c r="C277">
        <v>18.818923999999999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63.065459264453352</v>
      </c>
      <c r="M277">
        <v>174.32</v>
      </c>
      <c r="N277">
        <v>200.93</v>
      </c>
      <c r="O277">
        <v>0.87</v>
      </c>
      <c r="P277">
        <v>55.99</v>
      </c>
      <c r="Q277">
        <v>37.09032288313071</v>
      </c>
      <c r="R277">
        <v>0.22</v>
      </c>
      <c r="S277">
        <v>26.27</v>
      </c>
      <c r="T277">
        <v>4.82</v>
      </c>
      <c r="U277">
        <v>8.9307664835164839</v>
      </c>
      <c r="V277">
        <v>17.691610750360759</v>
      </c>
      <c r="W277">
        <v>53.785893687324027</v>
      </c>
      <c r="X277">
        <v>14.69655168223589</v>
      </c>
      <c r="Y277">
        <v>11.115626118326119</v>
      </c>
      <c r="Z277">
        <v>3360.7990205839901</v>
      </c>
      <c r="AA277">
        <v>1800.942152587302</v>
      </c>
    </row>
    <row r="278" spans="1:27" hidden="1">
      <c r="A278">
        <v>41</v>
      </c>
      <c r="B278">
        <v>0</v>
      </c>
      <c r="C278">
        <v>19.003907999999999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80.906486883108116</v>
      </c>
      <c r="M278">
        <v>12</v>
      </c>
      <c r="N278">
        <v>79.39</v>
      </c>
      <c r="O278">
        <v>0.15</v>
      </c>
      <c r="P278">
        <v>36.76</v>
      </c>
      <c r="Q278">
        <v>29.04862180314478</v>
      </c>
      <c r="R278">
        <v>0.14000000000000001</v>
      </c>
      <c r="S278">
        <v>27.25</v>
      </c>
      <c r="T278">
        <v>6.97</v>
      </c>
      <c r="U278">
        <v>8.6531499236058043</v>
      </c>
      <c r="V278">
        <v>17.229330086580092</v>
      </c>
      <c r="W278">
        <v>50.913099962761251</v>
      </c>
      <c r="X278">
        <v>19.055136390802179</v>
      </c>
      <c r="Y278">
        <v>13.683418575868579</v>
      </c>
      <c r="Z278">
        <v>1511.392404761905</v>
      </c>
      <c r="AA278">
        <v>748.68219931457395</v>
      </c>
    </row>
    <row r="279" spans="1:27" hidden="1">
      <c r="A279">
        <v>56</v>
      </c>
      <c r="B279">
        <v>0</v>
      </c>
      <c r="C279">
        <v>22.213678000000002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75.989346932976076</v>
      </c>
      <c r="M279">
        <v>31.75</v>
      </c>
      <c r="N279">
        <v>26.02</v>
      </c>
      <c r="O279">
        <v>1.22</v>
      </c>
      <c r="P279">
        <v>25.97</v>
      </c>
      <c r="Q279">
        <v>53.214953622174569</v>
      </c>
      <c r="R279">
        <v>0.64</v>
      </c>
      <c r="S279">
        <v>34.69</v>
      </c>
      <c r="T279">
        <v>2.79</v>
      </c>
      <c r="U279">
        <v>6.7745237509222811</v>
      </c>
      <c r="V279">
        <v>12.697032627356871</v>
      </c>
      <c r="W279">
        <v>61.516256744870716</v>
      </c>
      <c r="X279">
        <v>11.31442373737374</v>
      </c>
      <c r="Y279">
        <v>6.8212672547496096</v>
      </c>
      <c r="Z279">
        <v>690.53411327572394</v>
      </c>
      <c r="AA279">
        <v>460.99135722255869</v>
      </c>
    </row>
    <row r="280" spans="1:27" hidden="1">
      <c r="A280">
        <v>48</v>
      </c>
      <c r="B280">
        <v>0</v>
      </c>
      <c r="C280">
        <v>29.384675999999999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70.39188840788843</v>
      </c>
      <c r="M280">
        <v>22.15</v>
      </c>
      <c r="N280">
        <v>33.03</v>
      </c>
      <c r="O280">
        <v>0.67</v>
      </c>
      <c r="P280">
        <v>32.14</v>
      </c>
      <c r="Q280">
        <v>50.038872715142631</v>
      </c>
      <c r="R280">
        <v>0.43</v>
      </c>
      <c r="S280">
        <v>32.56</v>
      </c>
      <c r="T280">
        <v>4.0999999999999996</v>
      </c>
      <c r="U280">
        <v>5.1577354605680474</v>
      </c>
      <c r="V280">
        <v>13.49520463523405</v>
      </c>
      <c r="W280">
        <v>60.760701313951323</v>
      </c>
      <c r="X280">
        <v>9.882304473304476</v>
      </c>
      <c r="Y280">
        <v>4.8406958134458131</v>
      </c>
      <c r="Z280">
        <v>989.74582893787488</v>
      </c>
      <c r="AA280">
        <v>607.89270382856705</v>
      </c>
    </row>
    <row r="281" spans="1:27" hidden="1">
      <c r="A281">
        <v>46</v>
      </c>
      <c r="B281">
        <v>0</v>
      </c>
      <c r="C281">
        <v>27.885186999999998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66.988146553251852</v>
      </c>
      <c r="M281">
        <v>20.49</v>
      </c>
      <c r="N281">
        <v>53</v>
      </c>
      <c r="O281">
        <v>0.39</v>
      </c>
      <c r="P281">
        <v>35.119999999999997</v>
      </c>
      <c r="Q281">
        <v>33.014900626268783</v>
      </c>
      <c r="R281">
        <v>0.4</v>
      </c>
      <c r="S281">
        <v>32.15</v>
      </c>
      <c r="T281">
        <v>2.92</v>
      </c>
      <c r="U281">
        <v>4.5953586691086681</v>
      </c>
      <c r="V281">
        <v>14.6449192660139</v>
      </c>
      <c r="W281">
        <v>61.114932795432793</v>
      </c>
      <c r="X281">
        <v>9.3605425685425683</v>
      </c>
      <c r="Y281">
        <v>5.3474117826617844</v>
      </c>
      <c r="Z281">
        <v>1274.87376021201</v>
      </c>
      <c r="AA281">
        <v>739.42966156066166</v>
      </c>
    </row>
    <row r="282" spans="1:27" hidden="1">
      <c r="A282">
        <v>37</v>
      </c>
      <c r="B282">
        <v>1</v>
      </c>
      <c r="C282">
        <v>34.293551999999998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71.169031114706215</v>
      </c>
      <c r="M282">
        <v>351.64</v>
      </c>
      <c r="N282">
        <v>170.53</v>
      </c>
      <c r="O282">
        <v>2.06</v>
      </c>
      <c r="P282">
        <v>73.97</v>
      </c>
      <c r="Q282">
        <v>62.524456793798038</v>
      </c>
      <c r="R282">
        <v>0.93</v>
      </c>
      <c r="S282">
        <v>34.1</v>
      </c>
      <c r="T282">
        <v>6.88</v>
      </c>
      <c r="U282">
        <v>3.7683974450602848</v>
      </c>
      <c r="V282">
        <v>14.0660656766605</v>
      </c>
      <c r="W282">
        <v>56.328227088910019</v>
      </c>
      <c r="X282">
        <v>2.3020032446147969</v>
      </c>
      <c r="Y282">
        <v>2.400787686834311</v>
      </c>
      <c r="Z282">
        <v>4225.8025873015886</v>
      </c>
      <c r="AA282">
        <v>2264.028014239927</v>
      </c>
    </row>
    <row r="283" spans="1:27" hidden="1">
      <c r="A283">
        <v>48</v>
      </c>
      <c r="B283">
        <v>0</v>
      </c>
      <c r="C283">
        <v>23.634032999999999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77.353898056192179</v>
      </c>
      <c r="M283">
        <v>8.73</v>
      </c>
      <c r="N283">
        <v>17.87</v>
      </c>
      <c r="O283">
        <v>0.49</v>
      </c>
      <c r="P283">
        <v>25.4</v>
      </c>
      <c r="Q283">
        <v>54.403375897340247</v>
      </c>
      <c r="R283">
        <v>1.05</v>
      </c>
      <c r="S283">
        <v>32.04</v>
      </c>
      <c r="T283">
        <v>2.2999999999999998</v>
      </c>
      <c r="U283">
        <v>6.0782237354922373</v>
      </c>
      <c r="V283">
        <v>13.23442348551831</v>
      </c>
      <c r="W283">
        <v>60.231302103793659</v>
      </c>
      <c r="X283">
        <v>8.3498610300803673</v>
      </c>
      <c r="Y283">
        <v>6.9772478697228726</v>
      </c>
      <c r="Z283">
        <v>664.6525566860812</v>
      </c>
      <c r="AA283">
        <v>440.36420504495521</v>
      </c>
    </row>
    <row r="284" spans="1:27" hidden="1">
      <c r="A284">
        <v>54</v>
      </c>
      <c r="B284">
        <v>1</v>
      </c>
      <c r="C284">
        <v>23.808691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69.718849206349219</v>
      </c>
      <c r="M284">
        <v>18.57</v>
      </c>
      <c r="N284">
        <v>35.229999999999997</v>
      </c>
      <c r="O284">
        <v>0.53</v>
      </c>
      <c r="P284">
        <v>35.369999999999997</v>
      </c>
      <c r="Q284">
        <v>46.872165287583151</v>
      </c>
      <c r="R284">
        <v>0.24</v>
      </c>
      <c r="S284">
        <v>31.96</v>
      </c>
      <c r="T284">
        <v>3.25</v>
      </c>
      <c r="U284">
        <v>6.4250136776622071</v>
      </c>
      <c r="V284">
        <v>14.49319359625882</v>
      </c>
      <c r="W284">
        <v>63.03594696776841</v>
      </c>
      <c r="X284">
        <v>10.09189177489178</v>
      </c>
      <c r="Y284">
        <v>6.2807586441336456</v>
      </c>
      <c r="Z284">
        <v>1399.1539195526691</v>
      </c>
      <c r="AA284">
        <v>746.6176863275615</v>
      </c>
    </row>
    <row r="285" spans="1:27" hidden="1">
      <c r="A285">
        <v>42</v>
      </c>
      <c r="B285">
        <v>1</v>
      </c>
      <c r="C285">
        <v>24.801587999999999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67.937190280292668</v>
      </c>
      <c r="M285">
        <v>204.2</v>
      </c>
      <c r="N285">
        <v>155.66999999999999</v>
      </c>
      <c r="O285">
        <v>1.31</v>
      </c>
      <c r="P285">
        <v>55.59</v>
      </c>
      <c r="Q285">
        <v>51.728404439434541</v>
      </c>
      <c r="R285">
        <v>0.54</v>
      </c>
      <c r="S285">
        <v>30.08</v>
      </c>
      <c r="T285">
        <v>7.39</v>
      </c>
      <c r="U285">
        <v>4.7135253892779057</v>
      </c>
      <c r="V285">
        <v>9.4527326716216606</v>
      </c>
      <c r="W285">
        <v>45.998751495048829</v>
      </c>
      <c r="X285">
        <v>7.37308664161925</v>
      </c>
      <c r="Y285">
        <v>2.3448481066107818</v>
      </c>
      <c r="Z285">
        <v>3007.357151859148</v>
      </c>
      <c r="AA285">
        <v>2004.623708159341</v>
      </c>
    </row>
    <row r="286" spans="1:27" hidden="1">
      <c r="A286">
        <v>42</v>
      </c>
      <c r="B286">
        <v>0</v>
      </c>
      <c r="C286">
        <v>22.65625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72.123080989414831</v>
      </c>
      <c r="M286">
        <v>57.13</v>
      </c>
      <c r="N286">
        <v>105.26</v>
      </c>
      <c r="O286">
        <v>0.54</v>
      </c>
      <c r="P286">
        <v>44.82</v>
      </c>
      <c r="Q286">
        <v>32.676917217476699</v>
      </c>
      <c r="R286">
        <v>0.38</v>
      </c>
      <c r="S286">
        <v>32.49</v>
      </c>
      <c r="T286">
        <v>9.15</v>
      </c>
      <c r="U286">
        <v>7.2764777962552349</v>
      </c>
      <c r="V286">
        <v>15.67097046383568</v>
      </c>
      <c r="W286">
        <v>61.604780593647199</v>
      </c>
      <c r="X286">
        <v>10.338918109668111</v>
      </c>
      <c r="Y286">
        <v>6.1927305583982442</v>
      </c>
      <c r="Z286">
        <v>1771.392917972006</v>
      </c>
      <c r="AA286">
        <v>1098.338371905872</v>
      </c>
    </row>
    <row r="287" spans="1:27" hidden="1">
      <c r="A287">
        <v>20</v>
      </c>
      <c r="B287">
        <v>0</v>
      </c>
      <c r="C287">
        <v>23.233456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100.26430808080811</v>
      </c>
      <c r="M287">
        <v>15.47</v>
      </c>
      <c r="N287">
        <v>7.51</v>
      </c>
      <c r="O287">
        <v>2.06</v>
      </c>
      <c r="P287">
        <v>17.149999999999999</v>
      </c>
      <c r="Q287">
        <v>61.725580146726749</v>
      </c>
      <c r="R287">
        <v>2.46</v>
      </c>
      <c r="S287">
        <v>33.65</v>
      </c>
      <c r="T287">
        <v>3.95</v>
      </c>
      <c r="U287">
        <v>8.3168642982834164</v>
      </c>
      <c r="V287">
        <v>20.080633040205409</v>
      </c>
      <c r="W287">
        <v>65.693039682539649</v>
      </c>
      <c r="X287">
        <v>18.18987851592852</v>
      </c>
      <c r="Y287">
        <v>10.99454455266955</v>
      </c>
      <c r="Z287">
        <v>338.65891452991451</v>
      </c>
      <c r="AA287">
        <v>236.13807432844931</v>
      </c>
    </row>
    <row r="288" spans="1:27" hidden="1">
      <c r="A288">
        <v>46</v>
      </c>
      <c r="B288">
        <v>0</v>
      </c>
      <c r="C288">
        <v>21.989892999999999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63.428517168141731</v>
      </c>
      <c r="M288">
        <v>97.71</v>
      </c>
      <c r="N288">
        <v>188.93</v>
      </c>
      <c r="O288">
        <v>0.52</v>
      </c>
      <c r="P288">
        <v>75</v>
      </c>
      <c r="Q288">
        <v>28.593815095081101</v>
      </c>
      <c r="R288">
        <v>0.39</v>
      </c>
      <c r="S288">
        <v>23.87</v>
      </c>
      <c r="T288">
        <v>10.77</v>
      </c>
      <c r="U288">
        <v>5.7998357577381956</v>
      </c>
      <c r="V288">
        <v>15.755945648071741</v>
      </c>
      <c r="W288">
        <v>51.29846411650864</v>
      </c>
      <c r="X288">
        <v>10.461091269841271</v>
      </c>
      <c r="Y288">
        <v>4.5242773588200409</v>
      </c>
      <c r="Z288">
        <v>4079.2960952380959</v>
      </c>
      <c r="AA288">
        <v>2156.0484526923078</v>
      </c>
    </row>
    <row r="289" spans="1:27" hidden="1">
      <c r="A289">
        <v>23</v>
      </c>
      <c r="B289">
        <v>0</v>
      </c>
      <c r="C289">
        <v>18.256319000000001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68.898215900768122</v>
      </c>
      <c r="M289">
        <v>150.26</v>
      </c>
      <c r="N289">
        <v>226.25</v>
      </c>
      <c r="O289">
        <v>0.66</v>
      </c>
      <c r="P289">
        <v>61.09</v>
      </c>
      <c r="Q289">
        <v>37.38928955899263</v>
      </c>
      <c r="R289">
        <v>0.46</v>
      </c>
      <c r="S289">
        <v>32.229999999999997</v>
      </c>
      <c r="T289">
        <v>8.9</v>
      </c>
      <c r="U289">
        <v>5.6186847799603212</v>
      </c>
      <c r="V289">
        <v>13.920508929958929</v>
      </c>
      <c r="W289">
        <v>58.610611508015857</v>
      </c>
      <c r="X289">
        <v>10.950756718427771</v>
      </c>
      <c r="Y289">
        <v>2.8535429904551761</v>
      </c>
      <c r="Z289">
        <v>3314.8205873015881</v>
      </c>
      <c r="AA289">
        <v>1705.1622181068931</v>
      </c>
    </row>
    <row r="290" spans="1:27" hidden="1">
      <c r="A290">
        <v>31</v>
      </c>
      <c r="B290">
        <v>0</v>
      </c>
      <c r="C290">
        <v>26.569614000000001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74.223974044147042</v>
      </c>
      <c r="M290">
        <v>84.79</v>
      </c>
      <c r="N290">
        <v>188.87</v>
      </c>
      <c r="O290">
        <v>0.45</v>
      </c>
      <c r="P290">
        <v>47.17</v>
      </c>
      <c r="Q290">
        <v>29.36134974599781</v>
      </c>
      <c r="R290">
        <v>0.64</v>
      </c>
      <c r="S290">
        <v>31.36</v>
      </c>
      <c r="T290">
        <v>7.15</v>
      </c>
      <c r="U290">
        <v>4.8399720027779223</v>
      </c>
      <c r="V290">
        <v>15.685917619283471</v>
      </c>
      <c r="W290">
        <v>53.078798201871251</v>
      </c>
      <c r="X290">
        <v>9.3452444777444796</v>
      </c>
      <c r="Y290">
        <v>3.6526236745413581</v>
      </c>
      <c r="Z290">
        <v>2095.6495071410068</v>
      </c>
      <c r="AA290">
        <v>1112.685917748918</v>
      </c>
    </row>
    <row r="291" spans="1:27" hidden="1">
      <c r="A291">
        <v>34</v>
      </c>
      <c r="B291">
        <v>0</v>
      </c>
      <c r="C291">
        <v>20.202020000000001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74.833233895303835</v>
      </c>
      <c r="M291">
        <v>4642.8599999999997</v>
      </c>
      <c r="N291">
        <v>806.4</v>
      </c>
      <c r="O291">
        <v>5.76</v>
      </c>
      <c r="P291">
        <v>233.86</v>
      </c>
      <c r="Q291">
        <v>38.364971959730717</v>
      </c>
      <c r="R291">
        <v>0.32</v>
      </c>
      <c r="S291">
        <v>30.09</v>
      </c>
      <c r="T291">
        <v>18.14</v>
      </c>
      <c r="U291">
        <v>6.0253907868447349</v>
      </c>
      <c r="V291">
        <v>14.22127144346881</v>
      </c>
      <c r="W291">
        <v>53.569893241775652</v>
      </c>
      <c r="X291">
        <v>11.73182395382395</v>
      </c>
      <c r="Y291">
        <v>4.6656333666333669</v>
      </c>
      <c r="Z291">
        <v>16081.204591630591</v>
      </c>
      <c r="AA291">
        <v>3362.30182070707</v>
      </c>
    </row>
    <row r="292" spans="1:27" hidden="1">
      <c r="A292">
        <v>44</v>
      </c>
      <c r="B292">
        <v>0</v>
      </c>
      <c r="C292">
        <v>22.83737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71.391088050778265</v>
      </c>
      <c r="M292">
        <v>40.75</v>
      </c>
      <c r="N292">
        <v>103.44</v>
      </c>
      <c r="O292">
        <v>0.39</v>
      </c>
      <c r="P292">
        <v>40.74</v>
      </c>
      <c r="Q292">
        <v>28.294055240790811</v>
      </c>
      <c r="R292">
        <v>0.24</v>
      </c>
      <c r="S292">
        <v>28.04</v>
      </c>
      <c r="T292">
        <v>5.08</v>
      </c>
      <c r="U292">
        <v>7.3093780349054729</v>
      </c>
      <c r="V292">
        <v>13.173985221300439</v>
      </c>
      <c r="W292">
        <v>52.539991172785697</v>
      </c>
      <c r="X292">
        <v>10.66110209235209</v>
      </c>
      <c r="Y292">
        <v>6.3727063492063518</v>
      </c>
      <c r="Z292">
        <v>1894.353910035499</v>
      </c>
      <c r="AA292">
        <v>1036.3241576201581</v>
      </c>
    </row>
    <row r="293" spans="1:27" hidden="1">
      <c r="A293">
        <v>39</v>
      </c>
      <c r="B293">
        <v>0</v>
      </c>
      <c r="C293">
        <v>24.835764000000001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68.182248689653576</v>
      </c>
      <c r="M293">
        <v>210.03</v>
      </c>
      <c r="N293">
        <v>298.26</v>
      </c>
      <c r="O293">
        <v>0.7</v>
      </c>
      <c r="P293">
        <v>76.959999999999994</v>
      </c>
      <c r="Q293">
        <v>35.054777801767543</v>
      </c>
      <c r="R293">
        <v>0.64</v>
      </c>
      <c r="S293">
        <v>30.78</v>
      </c>
      <c r="T293">
        <v>12.64</v>
      </c>
      <c r="U293">
        <v>4.8179258499283657</v>
      </c>
      <c r="V293">
        <v>15.389371254295799</v>
      </c>
      <c r="W293">
        <v>51.594585273504777</v>
      </c>
      <c r="X293">
        <v>9.2264784382284368</v>
      </c>
      <c r="Y293">
        <v>4.4179934364219893</v>
      </c>
      <c r="Z293">
        <v>4288.7852222222227</v>
      </c>
      <c r="AA293">
        <v>2199.5513300873022</v>
      </c>
    </row>
    <row r="294" spans="1:27" hidden="1">
      <c r="A294">
        <v>47</v>
      </c>
      <c r="B294">
        <v>0</v>
      </c>
      <c r="C294">
        <v>19.227688000000001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65.436676958834127</v>
      </c>
      <c r="M294">
        <v>586.49</v>
      </c>
      <c r="N294">
        <v>146.78</v>
      </c>
      <c r="O294">
        <v>4</v>
      </c>
      <c r="P294">
        <v>69.650000000000006</v>
      </c>
      <c r="Q294">
        <v>76.595299198180498</v>
      </c>
      <c r="R294">
        <v>0.5</v>
      </c>
      <c r="S294">
        <v>27.12</v>
      </c>
      <c r="T294">
        <v>14.75</v>
      </c>
      <c r="U294">
        <v>5.2877555483731964</v>
      </c>
      <c r="V294">
        <v>20.717175047175051</v>
      </c>
      <c r="W294">
        <v>48.019062199436291</v>
      </c>
      <c r="X294">
        <v>7.8999827761864374</v>
      </c>
      <c r="Y294">
        <v>3.4023468310145151</v>
      </c>
      <c r="Z294">
        <v>4169.8098412698419</v>
      </c>
      <c r="AA294">
        <v>2187.9020273260071</v>
      </c>
    </row>
    <row r="295" spans="1:27" hidden="1">
      <c r="A295">
        <v>39</v>
      </c>
      <c r="B295">
        <v>0</v>
      </c>
      <c r="C295">
        <v>21.875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84.753355060603724</v>
      </c>
      <c r="M295">
        <v>22.6</v>
      </c>
      <c r="N295">
        <v>48.22</v>
      </c>
      <c r="O295">
        <v>0.47</v>
      </c>
      <c r="P295">
        <v>31.1</v>
      </c>
      <c r="Q295">
        <v>36.98418204339702</v>
      </c>
      <c r="R295">
        <v>0.72</v>
      </c>
      <c r="S295">
        <v>29.92</v>
      </c>
      <c r="T295">
        <v>11.69</v>
      </c>
      <c r="U295">
        <v>5.4576289151956336</v>
      </c>
      <c r="V295">
        <v>11.478421479489761</v>
      </c>
      <c r="W295">
        <v>47.090286274535693</v>
      </c>
      <c r="X295">
        <v>6.7428906866732961</v>
      </c>
      <c r="Y295">
        <v>5.3648861037787876</v>
      </c>
      <c r="Z295">
        <v>952.95805258922371</v>
      </c>
      <c r="AA295">
        <v>529.89269377093626</v>
      </c>
    </row>
    <row r="296" spans="1:27" hidden="1">
      <c r="A296">
        <v>66</v>
      </c>
      <c r="B296">
        <v>1</v>
      </c>
      <c r="C296">
        <v>24.622961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76.6995458471267</v>
      </c>
      <c r="M296">
        <v>17.23</v>
      </c>
      <c r="N296">
        <v>8.49</v>
      </c>
      <c r="O296">
        <v>2.0299999999999998</v>
      </c>
      <c r="P296">
        <v>23.18</v>
      </c>
      <c r="Q296">
        <v>58.660229096762457</v>
      </c>
      <c r="R296">
        <v>0.19</v>
      </c>
      <c r="S296">
        <v>29.36</v>
      </c>
      <c r="T296">
        <v>3.91</v>
      </c>
      <c r="U296">
        <v>6.9336243863979146</v>
      </c>
      <c r="V296">
        <v>17.56256782106782</v>
      </c>
      <c r="W296">
        <v>68.970673076923092</v>
      </c>
      <c r="X296">
        <v>12.727874553808769</v>
      </c>
      <c r="Y296">
        <v>7.4141028138528142</v>
      </c>
      <c r="Z296">
        <v>739.65146093562578</v>
      </c>
      <c r="AA296">
        <v>358.63837554112558</v>
      </c>
    </row>
    <row r="297" spans="1:27" hidden="1">
      <c r="A297">
        <v>42</v>
      </c>
      <c r="B297">
        <v>0</v>
      </c>
      <c r="C297">
        <v>26.171875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68.723842101894519</v>
      </c>
      <c r="M297">
        <v>100.97</v>
      </c>
      <c r="N297">
        <v>117.05</v>
      </c>
      <c r="O297">
        <v>0.86</v>
      </c>
      <c r="P297">
        <v>49.7</v>
      </c>
      <c r="Q297">
        <v>36.486715695172727</v>
      </c>
      <c r="R297">
        <v>0.09</v>
      </c>
      <c r="S297">
        <v>25.32</v>
      </c>
      <c r="T297">
        <v>8.25</v>
      </c>
      <c r="U297">
        <v>5.2806640565317036</v>
      </c>
      <c r="V297">
        <v>15.253464866712241</v>
      </c>
      <c r="W297">
        <v>51.856575647602412</v>
      </c>
      <c r="X297">
        <v>9.8587222222222231</v>
      </c>
      <c r="Y297">
        <v>3.9623216462319761</v>
      </c>
      <c r="Z297">
        <v>2839.8573946886449</v>
      </c>
      <c r="AA297">
        <v>1640.4348702686209</v>
      </c>
    </row>
    <row r="298" spans="1:27" hidden="1">
      <c r="A298">
        <v>41</v>
      </c>
      <c r="B298">
        <v>0</v>
      </c>
      <c r="C298">
        <v>28.040379000000001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88.130740800865809</v>
      </c>
      <c r="M298">
        <v>5.72</v>
      </c>
      <c r="N298">
        <v>12.84</v>
      </c>
      <c r="O298">
        <v>0.45</v>
      </c>
      <c r="P298">
        <v>16.22</v>
      </c>
      <c r="Q298">
        <v>53.228085183521458</v>
      </c>
      <c r="R298">
        <v>0.25</v>
      </c>
      <c r="S298">
        <v>31.9</v>
      </c>
      <c r="T298">
        <v>3.79</v>
      </c>
      <c r="U298">
        <v>7.6131405677655684</v>
      </c>
      <c r="V298">
        <v>14.19334269162211</v>
      </c>
      <c r="W298">
        <v>65.085070824070812</v>
      </c>
      <c r="X298">
        <v>15.45286950330372</v>
      </c>
      <c r="Y298">
        <v>9.4681974969474965</v>
      </c>
      <c r="Z298">
        <v>405.79026190476208</v>
      </c>
      <c r="AA298">
        <v>187.13574618437119</v>
      </c>
    </row>
    <row r="299" spans="1:27" hidden="1">
      <c r="A299">
        <v>42</v>
      </c>
      <c r="B299">
        <v>0</v>
      </c>
      <c r="C299">
        <v>24.508945000000001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74.510442446903852</v>
      </c>
      <c r="M299">
        <v>38.24</v>
      </c>
      <c r="N299">
        <v>87.7</v>
      </c>
      <c r="O299">
        <v>0.44</v>
      </c>
      <c r="P299">
        <v>34.74</v>
      </c>
      <c r="Q299">
        <v>34.750454113693728</v>
      </c>
      <c r="R299">
        <v>0.42</v>
      </c>
      <c r="S299">
        <v>32.229999999999997</v>
      </c>
      <c r="T299">
        <v>7.14</v>
      </c>
      <c r="U299">
        <v>5.2616193539647487</v>
      </c>
      <c r="V299">
        <v>14.29110175737874</v>
      </c>
      <c r="W299">
        <v>59.820205156093799</v>
      </c>
      <c r="X299">
        <v>8.9640243367743366</v>
      </c>
      <c r="Y299">
        <v>3.3191553521675381</v>
      </c>
      <c r="Z299">
        <v>1303.121885503386</v>
      </c>
      <c r="AA299">
        <v>754.73941720779248</v>
      </c>
    </row>
    <row r="300" spans="1:27" hidden="1">
      <c r="A300">
        <v>43</v>
      </c>
      <c r="B300">
        <v>0</v>
      </c>
      <c r="C300">
        <v>19.835146000000002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70.651441181078738</v>
      </c>
      <c r="M300">
        <v>18.95</v>
      </c>
      <c r="N300">
        <v>91.83</v>
      </c>
      <c r="O300">
        <v>0.21</v>
      </c>
      <c r="P300">
        <v>39.14</v>
      </c>
      <c r="Q300">
        <v>28.995939213236561</v>
      </c>
      <c r="R300">
        <v>0.34</v>
      </c>
      <c r="S300">
        <v>29.71</v>
      </c>
      <c r="T300">
        <v>5.75</v>
      </c>
      <c r="U300">
        <v>6.1938952968832606</v>
      </c>
      <c r="V300">
        <v>12.014984547997139</v>
      </c>
      <c r="W300">
        <v>51.873504599738162</v>
      </c>
      <c r="X300">
        <v>10.85041414141414</v>
      </c>
      <c r="Y300">
        <v>4.9204581208684486</v>
      </c>
      <c r="Z300">
        <v>1543.4755912698411</v>
      </c>
      <c r="AA300">
        <v>1068.959170440671</v>
      </c>
    </row>
    <row r="301" spans="1:27" hidden="1">
      <c r="A301">
        <v>31</v>
      </c>
      <c r="B301">
        <v>0</v>
      </c>
      <c r="C301">
        <v>17.898023999999999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77.96478964646461</v>
      </c>
      <c r="M301">
        <v>307.13</v>
      </c>
      <c r="N301">
        <v>93.26</v>
      </c>
      <c r="O301">
        <v>3.29</v>
      </c>
      <c r="P301">
        <v>68.95</v>
      </c>
      <c r="Q301">
        <v>67.121331622126263</v>
      </c>
      <c r="R301">
        <v>0.14000000000000001</v>
      </c>
      <c r="S301">
        <v>26.21</v>
      </c>
      <c r="T301">
        <v>7.36</v>
      </c>
      <c r="U301">
        <v>6.4266422509525816</v>
      </c>
      <c r="V301">
        <v>15.88169869750134</v>
      </c>
      <c r="W301">
        <v>53.49614912016709</v>
      </c>
      <c r="X301">
        <v>11.67479220779221</v>
      </c>
      <c r="Y301">
        <v>5.1206586442013267</v>
      </c>
      <c r="Z301">
        <v>4303.9083174603174</v>
      </c>
      <c r="AA301">
        <v>1973.960877072039</v>
      </c>
    </row>
    <row r="302" spans="1:27" hidden="1">
      <c r="A302">
        <v>33</v>
      </c>
      <c r="B302">
        <v>1</v>
      </c>
      <c r="C302">
        <v>25.826447000000002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83.550505835667607</v>
      </c>
      <c r="M302">
        <v>60.23</v>
      </c>
      <c r="N302">
        <v>34.56</v>
      </c>
      <c r="O302">
        <v>1.74</v>
      </c>
      <c r="P302">
        <v>38.51</v>
      </c>
      <c r="Q302">
        <v>58.764958694949307</v>
      </c>
      <c r="R302">
        <v>0.26</v>
      </c>
      <c r="S302">
        <v>27.55</v>
      </c>
      <c r="T302">
        <v>4.59</v>
      </c>
      <c r="U302">
        <v>5.7149148099153591</v>
      </c>
      <c r="V302">
        <v>14.378365272535749</v>
      </c>
      <c r="W302">
        <v>54.699202008696531</v>
      </c>
      <c r="X302">
        <v>11.4175266955267</v>
      </c>
      <c r="Y302">
        <v>5.1257063492063484</v>
      </c>
      <c r="Z302">
        <v>1696.788099206349</v>
      </c>
      <c r="AA302">
        <v>1090.521312409812</v>
      </c>
    </row>
    <row r="303" spans="1:27" hidden="1">
      <c r="A303">
        <v>48</v>
      </c>
      <c r="B303">
        <v>0</v>
      </c>
      <c r="C303">
        <v>24.776793999999999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64.707302656815642</v>
      </c>
      <c r="M303">
        <v>43.08</v>
      </c>
      <c r="N303">
        <v>83.59</v>
      </c>
      <c r="O303">
        <v>0.52</v>
      </c>
      <c r="P303">
        <v>37.119999999999997</v>
      </c>
      <c r="Q303">
        <v>35.021401397854042</v>
      </c>
      <c r="R303">
        <v>0.51</v>
      </c>
      <c r="S303">
        <v>31.24</v>
      </c>
      <c r="T303">
        <v>6.37</v>
      </c>
      <c r="U303">
        <v>4.4582795842788103</v>
      </c>
      <c r="V303">
        <v>12.25635294827366</v>
      </c>
      <c r="W303">
        <v>50.58409584333311</v>
      </c>
      <c r="X303">
        <v>7.1777748700574797</v>
      </c>
      <c r="Y303">
        <v>3.3302048665907371</v>
      </c>
      <c r="Z303">
        <v>1395.830167415917</v>
      </c>
      <c r="AA303">
        <v>864.74287530525044</v>
      </c>
    </row>
    <row r="304" spans="1:27" hidden="1">
      <c r="A304">
        <v>43</v>
      </c>
      <c r="B304">
        <v>0</v>
      </c>
      <c r="C304">
        <v>23.733238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66.005359560517462</v>
      </c>
      <c r="M304">
        <v>71.510000000000005</v>
      </c>
      <c r="N304">
        <v>355.7</v>
      </c>
      <c r="O304">
        <v>0.2</v>
      </c>
      <c r="P304">
        <v>77.41</v>
      </c>
      <c r="Q304">
        <v>22.938550685797559</v>
      </c>
      <c r="R304">
        <v>0.36</v>
      </c>
      <c r="S304">
        <v>23.09</v>
      </c>
      <c r="T304">
        <v>11.77</v>
      </c>
      <c r="U304">
        <v>10.453241758241759</v>
      </c>
      <c r="V304">
        <v>29.767596681096681</v>
      </c>
      <c r="W304">
        <v>59.061908546202908</v>
      </c>
      <c r="X304">
        <v>19.116951646650559</v>
      </c>
      <c r="Y304">
        <v>14.59833174603175</v>
      </c>
      <c r="Z304">
        <v>4098.1863095238105</v>
      </c>
      <c r="AA304">
        <v>2191.4171980591632</v>
      </c>
    </row>
    <row r="305" spans="1:27" hidden="1">
      <c r="A305">
        <v>44</v>
      </c>
      <c r="B305">
        <v>1</v>
      </c>
      <c r="C305">
        <v>45.440876000000003</v>
      </c>
      <c r="D305">
        <v>0</v>
      </c>
      <c r="E305">
        <v>1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68.474738992041409</v>
      </c>
      <c r="M305">
        <v>312.2</v>
      </c>
      <c r="N305">
        <v>178.19</v>
      </c>
      <c r="O305">
        <v>1.75</v>
      </c>
      <c r="P305">
        <v>67.959999999999994</v>
      </c>
      <c r="Q305">
        <v>57.832622825009651</v>
      </c>
      <c r="R305">
        <v>0.08</v>
      </c>
      <c r="S305">
        <v>31.24</v>
      </c>
      <c r="T305">
        <v>6.77</v>
      </c>
      <c r="U305">
        <v>11.31500646412411</v>
      </c>
      <c r="V305">
        <v>30.003653660666821</v>
      </c>
      <c r="W305">
        <v>62.075043359418387</v>
      </c>
      <c r="X305">
        <v>21.63967091524469</v>
      </c>
      <c r="Y305">
        <v>19.098023809523809</v>
      </c>
      <c r="Z305">
        <v>4323.8175039682546</v>
      </c>
      <c r="AA305">
        <v>2091.3919362038509</v>
      </c>
    </row>
    <row r="306" spans="1:27" hidden="1">
      <c r="A306">
        <v>32</v>
      </c>
      <c r="B306">
        <v>0</v>
      </c>
      <c r="C306">
        <v>21.457267999999999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66.761124469624107</v>
      </c>
      <c r="M306">
        <v>132.47</v>
      </c>
      <c r="N306">
        <v>393.38</v>
      </c>
      <c r="O306">
        <v>0.34</v>
      </c>
      <c r="P306">
        <v>77.7</v>
      </c>
      <c r="Q306">
        <v>25.910417853862711</v>
      </c>
      <c r="R306">
        <v>0.71</v>
      </c>
      <c r="S306">
        <v>21.06</v>
      </c>
      <c r="T306">
        <v>9.67</v>
      </c>
      <c r="U306">
        <v>5.9800137085137086</v>
      </c>
      <c r="V306">
        <v>14.52560037281833</v>
      </c>
      <c r="W306">
        <v>51.033837758473283</v>
      </c>
      <c r="X306">
        <v>7.2534482604277128</v>
      </c>
      <c r="Y306">
        <v>4.7055404132904144</v>
      </c>
      <c r="Z306">
        <v>4167.8307619047609</v>
      </c>
      <c r="AA306">
        <v>2085.8937000873011</v>
      </c>
    </row>
    <row r="307" spans="1:27" hidden="1">
      <c r="A307">
        <v>45</v>
      </c>
      <c r="B307">
        <v>1</v>
      </c>
      <c r="C307">
        <v>21.777553999999999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68.505467816112471</v>
      </c>
      <c r="M307">
        <v>272.12</v>
      </c>
      <c r="N307">
        <v>81.760000000000005</v>
      </c>
      <c r="O307">
        <v>3.33</v>
      </c>
      <c r="P307">
        <v>46.37</v>
      </c>
      <c r="Q307">
        <v>68.76108841489004</v>
      </c>
      <c r="R307">
        <v>2.92</v>
      </c>
      <c r="S307">
        <v>26.73</v>
      </c>
      <c r="T307">
        <v>5.74</v>
      </c>
      <c r="U307">
        <v>2.2124925196212391</v>
      </c>
      <c r="V307">
        <v>17.706630806705899</v>
      </c>
      <c r="W307">
        <v>51.775540293721058</v>
      </c>
      <c r="X307">
        <v>5.8121391057695986</v>
      </c>
      <c r="Y307">
        <v>3.1693941551368008</v>
      </c>
      <c r="Z307">
        <v>2072.994751443001</v>
      </c>
      <c r="AA307">
        <v>1332.9593772549019</v>
      </c>
    </row>
    <row r="308" spans="1:27" hidden="1">
      <c r="A308">
        <v>48</v>
      </c>
      <c r="B308">
        <v>0</v>
      </c>
      <c r="C308">
        <v>26.953125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70.175267676767689</v>
      </c>
      <c r="M308">
        <v>18.29</v>
      </c>
      <c r="N308">
        <v>31.56</v>
      </c>
      <c r="O308">
        <v>0.57999999999999996</v>
      </c>
      <c r="P308">
        <v>41.14</v>
      </c>
      <c r="Q308">
        <v>50.659774977096824</v>
      </c>
      <c r="R308">
        <v>0.17</v>
      </c>
      <c r="S308">
        <v>25.74</v>
      </c>
      <c r="T308">
        <v>5.28</v>
      </c>
      <c r="U308">
        <v>5.4370432690035706</v>
      </c>
      <c r="V308">
        <v>15.34067702949225</v>
      </c>
      <c r="W308">
        <v>51.424229493756258</v>
      </c>
      <c r="X308">
        <v>10.335110028860029</v>
      </c>
      <c r="Y308">
        <v>5.38272582972583</v>
      </c>
      <c r="Z308">
        <v>1876.9334727494729</v>
      </c>
      <c r="AA308">
        <v>1097.0586857864359</v>
      </c>
    </row>
    <row r="309" spans="1:27" hidden="1">
      <c r="A309">
        <v>43</v>
      </c>
      <c r="B309">
        <v>0</v>
      </c>
      <c r="C309">
        <v>23.068049999999999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69.40150491196718</v>
      </c>
      <c r="M309">
        <v>76.59</v>
      </c>
      <c r="N309">
        <v>138.66</v>
      </c>
      <c r="O309">
        <v>0.55000000000000004</v>
      </c>
      <c r="P309">
        <v>43.61</v>
      </c>
      <c r="Q309">
        <v>29.821961678407661</v>
      </c>
      <c r="R309">
        <v>0.18</v>
      </c>
      <c r="S309">
        <v>27.55</v>
      </c>
      <c r="T309">
        <v>7.4</v>
      </c>
      <c r="U309">
        <v>5.907491169649064</v>
      </c>
      <c r="V309">
        <v>14.29710953967213</v>
      </c>
      <c r="W309">
        <v>52.76555935460388</v>
      </c>
      <c r="X309">
        <v>9.9013347763347763</v>
      </c>
      <c r="Y309">
        <v>4.2018886919313738</v>
      </c>
      <c r="Z309">
        <v>2027.3770624164499</v>
      </c>
      <c r="AA309">
        <v>1017.547806970807</v>
      </c>
    </row>
    <row r="310" spans="1:27" hidden="1">
      <c r="A310">
        <v>41</v>
      </c>
      <c r="B310">
        <v>0</v>
      </c>
      <c r="C310">
        <v>19.979189000000002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75.449447123636446</v>
      </c>
      <c r="M310">
        <v>59.62</v>
      </c>
      <c r="N310">
        <v>138</v>
      </c>
      <c r="O310">
        <v>0.43</v>
      </c>
      <c r="P310">
        <v>41.83</v>
      </c>
      <c r="Q310">
        <v>28.085392836609572</v>
      </c>
      <c r="R310">
        <v>0.56000000000000005</v>
      </c>
      <c r="S310">
        <v>27.93</v>
      </c>
      <c r="T310">
        <v>6.67</v>
      </c>
      <c r="U310">
        <v>6.3190396573455772</v>
      </c>
      <c r="V310">
        <v>10.854066084037109</v>
      </c>
      <c r="W310">
        <v>48.548040973255283</v>
      </c>
      <c r="X310">
        <v>8.9249704551741171</v>
      </c>
      <c r="Y310">
        <v>3.7579010594113891</v>
      </c>
      <c r="Z310">
        <v>1821.1811943067819</v>
      </c>
      <c r="AA310">
        <v>992.63342168942165</v>
      </c>
    </row>
    <row r="311" spans="1:27" hidden="1">
      <c r="A311">
        <v>33</v>
      </c>
      <c r="B311">
        <v>0</v>
      </c>
      <c r="C311">
        <v>17.258382999999998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69.302719815977397</v>
      </c>
      <c r="M311">
        <v>373.73</v>
      </c>
      <c r="N311">
        <v>360.52</v>
      </c>
      <c r="O311">
        <v>1.04</v>
      </c>
      <c r="P311">
        <v>102.25</v>
      </c>
      <c r="Q311">
        <v>43.404250067404327</v>
      </c>
      <c r="R311">
        <v>0.22</v>
      </c>
      <c r="S311">
        <v>27.94</v>
      </c>
      <c r="T311">
        <v>12.66</v>
      </c>
      <c r="U311">
        <v>7.560723359973359</v>
      </c>
      <c r="V311">
        <v>14.842680451127819</v>
      </c>
      <c r="W311">
        <v>54.407360493258963</v>
      </c>
      <c r="X311">
        <v>12.66956204906205</v>
      </c>
      <c r="Y311">
        <v>6.1166777893074276</v>
      </c>
      <c r="Z311">
        <v>4825.273714285715</v>
      </c>
      <c r="AA311">
        <v>2313.487890103896</v>
      </c>
    </row>
    <row r="312" spans="1:27" hidden="1">
      <c r="A312">
        <v>32</v>
      </c>
      <c r="B312">
        <v>0</v>
      </c>
      <c r="C312">
        <v>17.959923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86.508438391673678</v>
      </c>
      <c r="M312">
        <v>38.119999999999997</v>
      </c>
      <c r="N312">
        <v>60.67</v>
      </c>
      <c r="O312">
        <v>0.63</v>
      </c>
      <c r="P312">
        <v>36.19</v>
      </c>
      <c r="Q312">
        <v>33.778983527092898</v>
      </c>
      <c r="R312">
        <v>0.26</v>
      </c>
      <c r="S312">
        <v>28.63</v>
      </c>
      <c r="T312">
        <v>6.79</v>
      </c>
      <c r="U312">
        <v>6.8264258183337123</v>
      </c>
      <c r="V312">
        <v>11.85509355826791</v>
      </c>
      <c r="W312">
        <v>53.633724377153769</v>
      </c>
      <c r="X312">
        <v>11.43399747474748</v>
      </c>
      <c r="Y312">
        <v>4.2644995532922358</v>
      </c>
      <c r="Z312">
        <v>1483.5141139971131</v>
      </c>
      <c r="AA312">
        <v>746.12531403318906</v>
      </c>
    </row>
    <row r="313" spans="1:27" hidden="1">
      <c r="A313">
        <v>42</v>
      </c>
      <c r="B313">
        <v>0</v>
      </c>
      <c r="C313">
        <v>23.588329999999999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80.850667483660132</v>
      </c>
      <c r="M313">
        <v>33.08</v>
      </c>
      <c r="N313">
        <v>29.76</v>
      </c>
      <c r="O313">
        <v>1.1100000000000001</v>
      </c>
      <c r="P313">
        <v>23.73</v>
      </c>
      <c r="Q313">
        <v>48.641789457659009</v>
      </c>
      <c r="R313">
        <v>0.22</v>
      </c>
      <c r="S313">
        <v>30.99</v>
      </c>
      <c r="T313">
        <v>3.02</v>
      </c>
      <c r="U313">
        <v>5.3187252510647252</v>
      </c>
      <c r="V313">
        <v>11.20671560777955</v>
      </c>
      <c r="W313">
        <v>57.208229324655747</v>
      </c>
      <c r="X313">
        <v>9.5216760461760472</v>
      </c>
      <c r="Y313">
        <v>3.95259158037525</v>
      </c>
      <c r="Z313">
        <v>767.49288448838024</v>
      </c>
      <c r="AA313">
        <v>436.09358996559013</v>
      </c>
    </row>
    <row r="314" spans="1:27" hidden="1">
      <c r="A314">
        <v>38</v>
      </c>
      <c r="B314">
        <v>0</v>
      </c>
      <c r="C314">
        <v>24.121749999999999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64.751312553487779</v>
      </c>
      <c r="M314">
        <v>657.69</v>
      </c>
      <c r="N314">
        <v>1681.93</v>
      </c>
      <c r="O314">
        <v>0.39</v>
      </c>
      <c r="P314">
        <v>147.62</v>
      </c>
      <c r="Q314">
        <v>33.915780335549101</v>
      </c>
      <c r="R314">
        <v>1.1499999999999999</v>
      </c>
      <c r="S314">
        <v>26.87</v>
      </c>
      <c r="T314">
        <v>11.99</v>
      </c>
      <c r="U314">
        <v>3.5481825904274742</v>
      </c>
      <c r="V314">
        <v>16.021934815800229</v>
      </c>
      <c r="W314">
        <v>52.502695080560692</v>
      </c>
      <c r="X314">
        <v>3.8681354782885302</v>
      </c>
      <c r="Y314">
        <v>3.919810755978439</v>
      </c>
      <c r="Z314">
        <v>9192.5626984126957</v>
      </c>
      <c r="AA314">
        <v>2248.8126678023091</v>
      </c>
    </row>
    <row r="315" spans="1:27" hidden="1">
      <c r="A315">
        <v>35</v>
      </c>
      <c r="B315">
        <v>0</v>
      </c>
      <c r="C315">
        <v>31.25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84.192972832722802</v>
      </c>
      <c r="M315">
        <v>32.47</v>
      </c>
      <c r="N315">
        <v>52.78</v>
      </c>
      <c r="O315">
        <v>0.62</v>
      </c>
      <c r="P315">
        <v>28.72</v>
      </c>
      <c r="Q315">
        <v>36.741969956035781</v>
      </c>
      <c r="R315">
        <v>0.35</v>
      </c>
      <c r="S315">
        <v>32.06</v>
      </c>
      <c r="T315">
        <v>6.49</v>
      </c>
      <c r="U315">
        <v>5.1836412140491097</v>
      </c>
      <c r="V315">
        <v>13.16027022899701</v>
      </c>
      <c r="W315">
        <v>58.211302752846663</v>
      </c>
      <c r="X315">
        <v>11.10900541125541</v>
      </c>
      <c r="Y315">
        <v>3.445859184846801</v>
      </c>
      <c r="Z315">
        <v>894.54040836940806</v>
      </c>
      <c r="AA315">
        <v>559.87077629021235</v>
      </c>
    </row>
    <row r="316" spans="1:27" hidden="1">
      <c r="A316">
        <v>36</v>
      </c>
      <c r="B316">
        <v>0</v>
      </c>
      <c r="C316">
        <v>22.582708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88.056435566564744</v>
      </c>
      <c r="M316">
        <v>33.03</v>
      </c>
      <c r="N316">
        <v>31.5</v>
      </c>
      <c r="O316">
        <v>1.05</v>
      </c>
      <c r="P316">
        <v>27.76</v>
      </c>
      <c r="Q316">
        <v>48.051865431336843</v>
      </c>
      <c r="R316">
        <v>0.1</v>
      </c>
      <c r="S316">
        <v>29.21</v>
      </c>
      <c r="T316">
        <v>4.1399999999999997</v>
      </c>
      <c r="U316">
        <v>6.7647387346490371</v>
      </c>
      <c r="V316">
        <v>14.88082206682207</v>
      </c>
      <c r="W316">
        <v>55.531205212924917</v>
      </c>
      <c r="X316">
        <v>13.895525347459561</v>
      </c>
      <c r="Y316">
        <v>7.2740738983239011</v>
      </c>
      <c r="Z316">
        <v>998.02188417138416</v>
      </c>
      <c r="AA316">
        <v>549.39459434083244</v>
      </c>
    </row>
    <row r="317" spans="1:27" hidden="1">
      <c r="A317">
        <v>41</v>
      </c>
      <c r="B317">
        <v>0</v>
      </c>
      <c r="C317">
        <v>18.611495999999999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74.619689163314803</v>
      </c>
      <c r="M317">
        <v>15.6</v>
      </c>
      <c r="N317">
        <v>143.84</v>
      </c>
      <c r="O317">
        <v>0.11</v>
      </c>
      <c r="P317">
        <v>48.92</v>
      </c>
      <c r="Q317">
        <v>25.61728559406286</v>
      </c>
      <c r="R317">
        <v>0.22</v>
      </c>
      <c r="S317">
        <v>27.16</v>
      </c>
      <c r="T317">
        <v>13.54</v>
      </c>
      <c r="U317">
        <v>6.6734850368929308</v>
      </c>
      <c r="V317">
        <v>12.583968413165779</v>
      </c>
      <c r="W317">
        <v>54.255535554446531</v>
      </c>
      <c r="X317">
        <v>11.39602525252525</v>
      </c>
      <c r="Y317">
        <v>3.7217210012210011</v>
      </c>
      <c r="Z317">
        <v>2546.4200919080922</v>
      </c>
      <c r="AA317">
        <v>1042.2546872294381</v>
      </c>
    </row>
    <row r="318" spans="1:27" hidden="1">
      <c r="A318">
        <v>64</v>
      </c>
      <c r="B318">
        <v>0</v>
      </c>
      <c r="C318">
        <v>30.297785000000001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68.113386724386743</v>
      </c>
      <c r="M318">
        <v>21.08</v>
      </c>
      <c r="N318">
        <v>26.62</v>
      </c>
      <c r="O318">
        <v>0.79</v>
      </c>
      <c r="P318">
        <v>73.87</v>
      </c>
      <c r="Q318">
        <v>50.102419415339092</v>
      </c>
      <c r="R318">
        <v>0.24</v>
      </c>
      <c r="S318">
        <v>30.98</v>
      </c>
      <c r="T318">
        <v>3.69</v>
      </c>
      <c r="U318">
        <v>6.664579407984518</v>
      </c>
      <c r="V318">
        <v>15.045439344968759</v>
      </c>
      <c r="W318">
        <v>66.465224664224664</v>
      </c>
      <c r="X318">
        <v>10.84785209235209</v>
      </c>
      <c r="Y318">
        <v>5.980038406038406</v>
      </c>
      <c r="Z318">
        <v>2981.7188373015879</v>
      </c>
      <c r="AA318">
        <v>1192.852088383838</v>
      </c>
    </row>
    <row r="319" spans="1:27" hidden="1">
      <c r="A319">
        <v>65</v>
      </c>
      <c r="B319">
        <v>1</v>
      </c>
      <c r="C319">
        <v>22.471209000000002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78.752781480454757</v>
      </c>
      <c r="M319">
        <v>6.83</v>
      </c>
      <c r="N319">
        <v>19.37</v>
      </c>
      <c r="O319">
        <v>0.35</v>
      </c>
      <c r="P319">
        <v>18.32</v>
      </c>
      <c r="Q319">
        <v>51.088204282219628</v>
      </c>
      <c r="R319">
        <v>0.17</v>
      </c>
      <c r="S319">
        <v>29.68</v>
      </c>
      <c r="T319">
        <v>2.68</v>
      </c>
      <c r="U319">
        <v>7.1143585189320468</v>
      </c>
      <c r="V319">
        <v>16.809444000444</v>
      </c>
      <c r="W319">
        <v>69.134351037851062</v>
      </c>
      <c r="X319">
        <v>13.023120441254649</v>
      </c>
      <c r="Y319">
        <v>8.4353015873015895</v>
      </c>
      <c r="Z319">
        <v>506.2794047619048</v>
      </c>
      <c r="AA319">
        <v>233.59915219502719</v>
      </c>
    </row>
    <row r="320" spans="1:27" hidden="1">
      <c r="A320">
        <v>40</v>
      </c>
      <c r="B320">
        <v>0</v>
      </c>
      <c r="C320">
        <v>24.111507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77.824242177413225</v>
      </c>
      <c r="M320">
        <v>183.72</v>
      </c>
      <c r="N320">
        <v>60.79</v>
      </c>
      <c r="O320">
        <v>3.02</v>
      </c>
      <c r="P320">
        <v>55.22</v>
      </c>
      <c r="Q320">
        <v>65.26659414540201</v>
      </c>
      <c r="R320">
        <v>0.44</v>
      </c>
      <c r="S320">
        <v>31.98</v>
      </c>
      <c r="T320">
        <v>6.98</v>
      </c>
      <c r="U320">
        <v>5.1634557883636827</v>
      </c>
      <c r="V320">
        <v>14.94716110351637</v>
      </c>
      <c r="W320">
        <v>58.557188557091258</v>
      </c>
      <c r="X320">
        <v>9.569904567654568</v>
      </c>
      <c r="Y320">
        <v>3.4467807360429208</v>
      </c>
      <c r="Z320">
        <v>2858.127335099111</v>
      </c>
      <c r="AA320">
        <v>1969.641526016484</v>
      </c>
    </row>
    <row r="321" spans="1:27" hidden="1">
      <c r="A321">
        <v>49</v>
      </c>
      <c r="B321">
        <v>1</v>
      </c>
      <c r="C321">
        <v>26.989619999999999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68.569008417508442</v>
      </c>
      <c r="M321">
        <v>58.47</v>
      </c>
      <c r="N321">
        <v>45.5</v>
      </c>
      <c r="O321">
        <v>1.29</v>
      </c>
      <c r="P321">
        <v>40.520000000000003</v>
      </c>
      <c r="Q321">
        <v>47.803325175824313</v>
      </c>
      <c r="R321">
        <v>0.26</v>
      </c>
      <c r="S321">
        <v>28.07</v>
      </c>
      <c r="T321">
        <v>4.43</v>
      </c>
      <c r="U321">
        <v>4.7764326768003249</v>
      </c>
      <c r="V321">
        <v>15.293288140603361</v>
      </c>
      <c r="W321">
        <v>53.975984476228987</v>
      </c>
      <c r="X321">
        <v>9.9530212842712853</v>
      </c>
      <c r="Y321">
        <v>3.168288340314656</v>
      </c>
      <c r="Z321">
        <v>1849.2967355699859</v>
      </c>
      <c r="AA321">
        <v>1093.7628206793211</v>
      </c>
    </row>
    <row r="322" spans="1:27" hidden="1">
      <c r="A322">
        <v>48</v>
      </c>
      <c r="B322">
        <v>0</v>
      </c>
      <c r="C322">
        <v>24.435186000000002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63.405272716622967</v>
      </c>
      <c r="M322">
        <v>99.89</v>
      </c>
      <c r="N322">
        <v>133.77000000000001</v>
      </c>
      <c r="O322">
        <v>0.75</v>
      </c>
      <c r="P322">
        <v>46.57</v>
      </c>
      <c r="Q322">
        <v>36.066689320522812</v>
      </c>
      <c r="R322">
        <v>0.57999999999999996</v>
      </c>
      <c r="S322">
        <v>28.08</v>
      </c>
      <c r="T322">
        <v>7.32</v>
      </c>
      <c r="U322">
        <v>4.1606443817620304</v>
      </c>
      <c r="V322">
        <v>12.672411875148001</v>
      </c>
      <c r="W322">
        <v>46.599977727818732</v>
      </c>
      <c r="X322">
        <v>7.5466454439280541</v>
      </c>
      <c r="Y322">
        <v>2.993209965959966</v>
      </c>
      <c r="Z322">
        <v>2093.4783523791029</v>
      </c>
      <c r="AA322">
        <v>1267.1513820346329</v>
      </c>
    </row>
    <row r="323" spans="1:27" hidden="1">
      <c r="A323">
        <v>40</v>
      </c>
      <c r="B323">
        <v>0</v>
      </c>
      <c r="C323">
        <v>24.005486999999999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70.3362930837269</v>
      </c>
      <c r="M323">
        <v>132.19</v>
      </c>
      <c r="N323">
        <v>250.3</v>
      </c>
      <c r="O323">
        <v>0.53</v>
      </c>
      <c r="P323">
        <v>61.7</v>
      </c>
      <c r="Q323">
        <v>32.93309617463872</v>
      </c>
      <c r="R323">
        <v>0.28000000000000003</v>
      </c>
      <c r="S323">
        <v>26.76</v>
      </c>
      <c r="T323">
        <v>8.65</v>
      </c>
      <c r="U323">
        <v>5.8327693081772027</v>
      </c>
      <c r="V323">
        <v>16.489254632502</v>
      </c>
      <c r="W323">
        <v>52.739900123408113</v>
      </c>
      <c r="X323">
        <v>11.2766176046176</v>
      </c>
      <c r="Y323">
        <v>4.4778212316139143</v>
      </c>
      <c r="Z323">
        <v>3750.1212698412701</v>
      </c>
      <c r="AA323">
        <v>1822.4056098968249</v>
      </c>
    </row>
    <row r="324" spans="1:27" hidden="1">
      <c r="A324">
        <v>33</v>
      </c>
      <c r="B324">
        <v>1</v>
      </c>
      <c r="C324">
        <v>20.661158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93.698298168015569</v>
      </c>
      <c r="M324">
        <v>27.14</v>
      </c>
      <c r="N324">
        <v>16.510000000000002</v>
      </c>
      <c r="O324">
        <v>1.64</v>
      </c>
      <c r="P324">
        <v>21.83</v>
      </c>
      <c r="Q324">
        <v>55.362775025483018</v>
      </c>
      <c r="R324">
        <v>0.54</v>
      </c>
      <c r="S324">
        <v>28.24</v>
      </c>
      <c r="T324">
        <v>4.49</v>
      </c>
      <c r="U324">
        <v>6.2677889584117903</v>
      </c>
      <c r="V324">
        <v>12.580858585134671</v>
      </c>
      <c r="W324">
        <v>52.657640943293593</v>
      </c>
      <c r="X324">
        <v>10.97063566988567</v>
      </c>
      <c r="Y324">
        <v>4.993508597883598</v>
      </c>
      <c r="Z324">
        <v>604.45669203622481</v>
      </c>
      <c r="AA324">
        <v>346.47651046176048</v>
      </c>
    </row>
    <row r="325" spans="1:27" hidden="1">
      <c r="A325">
        <v>43</v>
      </c>
      <c r="B325">
        <v>0</v>
      </c>
      <c r="C325">
        <v>19.361826000000001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69.201785431642435</v>
      </c>
      <c r="M325">
        <v>63.94</v>
      </c>
      <c r="N325">
        <v>122.09</v>
      </c>
      <c r="O325">
        <v>0.52</v>
      </c>
      <c r="P325">
        <v>50.83</v>
      </c>
      <c r="Q325">
        <v>31.1205422333333</v>
      </c>
      <c r="R325">
        <v>0.43</v>
      </c>
      <c r="S325">
        <v>31.33</v>
      </c>
      <c r="T325">
        <v>10.220000000000001</v>
      </c>
      <c r="U325">
        <v>5.7696121769312558</v>
      </c>
      <c r="V325">
        <v>13.1404537225424</v>
      </c>
      <c r="W325">
        <v>54.089973980038152</v>
      </c>
      <c r="X325">
        <v>9.5269000999001019</v>
      </c>
      <c r="Y325">
        <v>2.881911379589932</v>
      </c>
      <c r="Z325">
        <v>2201.682486568986</v>
      </c>
      <c r="AA325">
        <v>1168.818663419913</v>
      </c>
    </row>
    <row r="326" spans="1:27" hidden="1">
      <c r="A326">
        <v>66</v>
      </c>
      <c r="B326">
        <v>0</v>
      </c>
      <c r="C326">
        <v>27.005130000000001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75.455794860368357</v>
      </c>
      <c r="M326">
        <v>17.04</v>
      </c>
      <c r="N326">
        <v>32.71</v>
      </c>
      <c r="O326">
        <v>0.52</v>
      </c>
      <c r="P326">
        <v>22.1</v>
      </c>
      <c r="Q326">
        <v>46.794624022946749</v>
      </c>
      <c r="R326">
        <v>0.2</v>
      </c>
      <c r="S326">
        <v>31.22</v>
      </c>
      <c r="T326">
        <v>2.66</v>
      </c>
      <c r="U326">
        <v>4.9729730839336099</v>
      </c>
      <c r="V326">
        <v>12.772557874989459</v>
      </c>
      <c r="W326">
        <v>72.391040140415157</v>
      </c>
      <c r="X326">
        <v>10.301683982683979</v>
      </c>
      <c r="Y326">
        <v>5.3751908230658234</v>
      </c>
      <c r="Z326">
        <v>709.85647501411631</v>
      </c>
      <c r="AA326">
        <v>327.23283225108219</v>
      </c>
    </row>
    <row r="327" spans="1:27" hidden="1">
      <c r="A327">
        <v>68</v>
      </c>
      <c r="B327">
        <v>1</v>
      </c>
      <c r="C327">
        <v>21.875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65.272569264069261</v>
      </c>
      <c r="M327">
        <v>81.430000000000007</v>
      </c>
      <c r="N327">
        <v>47.33</v>
      </c>
      <c r="O327">
        <v>1.72</v>
      </c>
      <c r="P327">
        <v>51.08</v>
      </c>
      <c r="Q327">
        <v>42.546832794941423</v>
      </c>
      <c r="R327">
        <v>0.21</v>
      </c>
      <c r="S327">
        <v>27.18</v>
      </c>
      <c r="T327">
        <v>4.09</v>
      </c>
      <c r="U327">
        <v>5.5407957859134331</v>
      </c>
      <c r="V327">
        <v>15.0530202020202</v>
      </c>
      <c r="W327">
        <v>70.132976495726496</v>
      </c>
      <c r="X327">
        <v>10.641579365079361</v>
      </c>
      <c r="Y327">
        <v>3.5191313131313131</v>
      </c>
      <c r="Z327">
        <v>2787.2571492673992</v>
      </c>
      <c r="AA327">
        <v>1434.774399159664</v>
      </c>
    </row>
    <row r="328" spans="1:27" hidden="1">
      <c r="A328">
        <v>68</v>
      </c>
      <c r="B328">
        <v>1</v>
      </c>
      <c r="C328">
        <v>18.069727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79.561321468244728</v>
      </c>
      <c r="M328">
        <v>13.41</v>
      </c>
      <c r="N328">
        <v>11.4</v>
      </c>
      <c r="O328">
        <v>1.18</v>
      </c>
      <c r="P328">
        <v>21.29</v>
      </c>
      <c r="Q328">
        <v>55.857865251371003</v>
      </c>
      <c r="R328">
        <v>0.24</v>
      </c>
      <c r="S328">
        <v>29.52</v>
      </c>
      <c r="T328">
        <v>4.9000000000000004</v>
      </c>
      <c r="U328">
        <v>8.3641544011544013</v>
      </c>
      <c r="V328">
        <v>17.573961399711401</v>
      </c>
      <c r="W328">
        <v>67.269493894993914</v>
      </c>
      <c r="X328">
        <v>13.699108120242331</v>
      </c>
      <c r="Y328">
        <v>8.550412698412698</v>
      </c>
      <c r="Z328">
        <v>640.23977736152744</v>
      </c>
      <c r="AA328">
        <v>250.1941296897547</v>
      </c>
    </row>
    <row r="329" spans="1:27" hidden="1">
      <c r="A329">
        <v>60</v>
      </c>
      <c r="B329">
        <v>1</v>
      </c>
      <c r="C329">
        <v>23.225431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84.078063492063478</v>
      </c>
      <c r="M329">
        <v>2251.15</v>
      </c>
      <c r="N329">
        <v>2697.52</v>
      </c>
      <c r="O329">
        <v>0.83</v>
      </c>
      <c r="P329">
        <v>209.74</v>
      </c>
      <c r="Q329">
        <v>26.116873743538171</v>
      </c>
      <c r="R329">
        <v>0.12</v>
      </c>
      <c r="S329">
        <v>26.24</v>
      </c>
      <c r="T329">
        <v>52.67</v>
      </c>
      <c r="U329">
        <v>5.1294782717282734</v>
      </c>
      <c r="V329">
        <v>10.96854695304696</v>
      </c>
      <c r="W329">
        <v>50.11110579214067</v>
      </c>
      <c r="X329">
        <v>8.0338423520923534</v>
      </c>
      <c r="Y329">
        <v>2.3144398218671038</v>
      </c>
      <c r="Z329">
        <v>16545.235769841271</v>
      </c>
      <c r="AA329">
        <v>3798.6550984848482</v>
      </c>
    </row>
    <row r="330" spans="1:27" hidden="1">
      <c r="A330">
        <v>65</v>
      </c>
      <c r="B330">
        <v>1</v>
      </c>
      <c r="C330">
        <v>27.148437999999999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63.26545514670515</v>
      </c>
      <c r="M330">
        <v>18.89</v>
      </c>
      <c r="N330">
        <v>73.36</v>
      </c>
      <c r="O330">
        <v>0.26</v>
      </c>
      <c r="P330">
        <v>35.33</v>
      </c>
      <c r="Q330">
        <v>26.974234378409609</v>
      </c>
      <c r="R330">
        <v>0.12</v>
      </c>
      <c r="S330">
        <v>26.14</v>
      </c>
      <c r="T330">
        <v>3.76</v>
      </c>
      <c r="U330">
        <v>5.8005213675213669</v>
      </c>
      <c r="V330">
        <v>17.768613981429191</v>
      </c>
      <c r="W330">
        <v>72.717103174603182</v>
      </c>
      <c r="X330">
        <v>10.66907683982684</v>
      </c>
      <c r="Y330">
        <v>4.8534126984126988</v>
      </c>
      <c r="Z330">
        <v>1417.1282222222219</v>
      </c>
      <c r="AA330">
        <v>705.92316949716962</v>
      </c>
    </row>
    <row r="331" spans="1:27" hidden="1">
      <c r="A331">
        <v>69</v>
      </c>
      <c r="B331">
        <v>1</v>
      </c>
      <c r="C331">
        <v>24.567474000000001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78.57556339303396</v>
      </c>
      <c r="M331">
        <v>41.05</v>
      </c>
      <c r="N331">
        <v>8.85</v>
      </c>
      <c r="O331">
        <v>4.6399999999999997</v>
      </c>
      <c r="P331">
        <v>22.41</v>
      </c>
      <c r="Q331">
        <v>55.392024943970227</v>
      </c>
      <c r="R331">
        <v>1.31</v>
      </c>
      <c r="S331">
        <v>35.6</v>
      </c>
      <c r="T331">
        <v>3.21</v>
      </c>
      <c r="U331">
        <v>3.9938956198600151</v>
      </c>
      <c r="V331">
        <v>13.655819094304389</v>
      </c>
      <c r="W331">
        <v>73.079311327561342</v>
      </c>
      <c r="X331">
        <v>3.5257680972570329</v>
      </c>
      <c r="Y331">
        <v>5.0807707747566422</v>
      </c>
      <c r="Z331">
        <v>560.30551515151524</v>
      </c>
      <c r="AA331">
        <v>293.11762391774892</v>
      </c>
    </row>
    <row r="332" spans="1:27" hidden="1">
      <c r="A332">
        <v>57</v>
      </c>
      <c r="B332">
        <v>1</v>
      </c>
      <c r="C332">
        <v>25.680074999999999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77.999551282051286</v>
      </c>
      <c r="M332">
        <v>12.06</v>
      </c>
      <c r="N332">
        <v>15.44</v>
      </c>
      <c r="O332">
        <v>0.78</v>
      </c>
      <c r="P332">
        <v>16.79</v>
      </c>
      <c r="Q332">
        <v>52.070559193159752</v>
      </c>
      <c r="R332">
        <v>0.3</v>
      </c>
      <c r="S332">
        <v>27.8</v>
      </c>
      <c r="T332">
        <v>3.01</v>
      </c>
      <c r="U332">
        <v>5.3586346982854414</v>
      </c>
      <c r="V332">
        <v>13.042475385725391</v>
      </c>
      <c r="W332">
        <v>54.704475645878048</v>
      </c>
      <c r="X332">
        <v>10.062806998557001</v>
      </c>
      <c r="Y332">
        <v>5.193781385281385</v>
      </c>
      <c r="Z332">
        <v>469.74785317460328</v>
      </c>
      <c r="AA332">
        <v>216.57577340714829</v>
      </c>
    </row>
    <row r="333" spans="1:27" hidden="1">
      <c r="A333">
        <v>66</v>
      </c>
      <c r="B333">
        <v>1</v>
      </c>
      <c r="C333">
        <v>26.078972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59.524022038139449</v>
      </c>
      <c r="M333">
        <v>299.56</v>
      </c>
      <c r="N333">
        <v>268.02999999999997</v>
      </c>
      <c r="O333">
        <v>1.1200000000000001</v>
      </c>
      <c r="P333">
        <v>77.459999999999994</v>
      </c>
      <c r="Q333">
        <v>46.462097645015803</v>
      </c>
      <c r="R333">
        <v>3.97</v>
      </c>
      <c r="S333">
        <v>24.06</v>
      </c>
      <c r="T333">
        <v>6.9</v>
      </c>
      <c r="U333">
        <v>2.847643868343559</v>
      </c>
      <c r="V333">
        <v>19.13997074936557</v>
      </c>
      <c r="W333">
        <v>61.300555337659397</v>
      </c>
      <c r="X333">
        <v>5.5669750664329021</v>
      </c>
      <c r="Y333">
        <v>4.0484340520590516</v>
      </c>
      <c r="Z333">
        <v>4510.9209285714287</v>
      </c>
      <c r="AA333">
        <v>2505.0845074682538</v>
      </c>
    </row>
    <row r="334" spans="1:27" hidden="1">
      <c r="A334">
        <v>62</v>
      </c>
      <c r="B334">
        <v>1</v>
      </c>
      <c r="C334">
        <v>19.897959</v>
      </c>
      <c r="D334">
        <v>0</v>
      </c>
      <c r="E334">
        <v>1</v>
      </c>
      <c r="F334">
        <v>0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62.501679746304298</v>
      </c>
      <c r="M334">
        <v>56.34</v>
      </c>
      <c r="N334">
        <v>132.12</v>
      </c>
      <c r="O334">
        <v>0.43</v>
      </c>
      <c r="P334">
        <v>43.21</v>
      </c>
      <c r="Q334">
        <v>26.362112601549729</v>
      </c>
      <c r="R334">
        <v>0.18</v>
      </c>
      <c r="S334">
        <v>27.18</v>
      </c>
      <c r="T334">
        <v>6.58</v>
      </c>
      <c r="U334">
        <v>9.6719087301587301</v>
      </c>
      <c r="V334">
        <v>22.642110737658271</v>
      </c>
      <c r="W334">
        <v>58.338571463482751</v>
      </c>
      <c r="X334">
        <v>12.468103474887689</v>
      </c>
      <c r="Y334">
        <v>11.11033823953824</v>
      </c>
      <c r="Z334">
        <v>1949.1976074399449</v>
      </c>
      <c r="AA334">
        <v>979.75755320006783</v>
      </c>
    </row>
    <row r="335" spans="1:27" hidden="1">
      <c r="A335">
        <v>65</v>
      </c>
      <c r="B335">
        <v>1</v>
      </c>
      <c r="C335">
        <v>23.733238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67.802287518037517</v>
      </c>
      <c r="M335">
        <v>21.31</v>
      </c>
      <c r="N335">
        <v>17.77</v>
      </c>
      <c r="O335">
        <v>1.2</v>
      </c>
      <c r="P335">
        <v>37.78</v>
      </c>
      <c r="Q335">
        <v>52.961443892943528</v>
      </c>
      <c r="R335">
        <v>0.1</v>
      </c>
      <c r="S335">
        <v>28.85</v>
      </c>
      <c r="T335">
        <v>2.5099999999999998</v>
      </c>
      <c r="U335">
        <v>6.1148004603239903</v>
      </c>
      <c r="V335">
        <v>15.92284666541188</v>
      </c>
      <c r="W335">
        <v>70.000625457875472</v>
      </c>
      <c r="X335">
        <v>10.276193362193361</v>
      </c>
      <c r="Y335">
        <v>5.629221861471863</v>
      </c>
      <c r="Z335">
        <v>1547.4246854256851</v>
      </c>
      <c r="AA335">
        <v>1008.043610389611</v>
      </c>
    </row>
    <row r="336" spans="1:27" hidden="1">
      <c r="A336">
        <v>61</v>
      </c>
      <c r="B336">
        <v>1</v>
      </c>
      <c r="C336">
        <v>28.373702999999999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71.886170634920632</v>
      </c>
      <c r="M336">
        <v>10154.280000000001</v>
      </c>
      <c r="N336">
        <v>2786.65</v>
      </c>
      <c r="O336">
        <v>3.64</v>
      </c>
      <c r="P336">
        <v>350.3</v>
      </c>
      <c r="Q336">
        <v>26.25591305661202</v>
      </c>
      <c r="R336">
        <v>0.69</v>
      </c>
      <c r="S336">
        <v>26.38</v>
      </c>
      <c r="T336">
        <v>13.14</v>
      </c>
      <c r="U336">
        <v>4.5267694776628602</v>
      </c>
      <c r="V336">
        <v>14.37908164058163</v>
      </c>
      <c r="W336">
        <v>46.894816849816827</v>
      </c>
      <c r="X336">
        <v>6.0720143911975084</v>
      </c>
      <c r="Y336">
        <v>2.6300163308913311</v>
      </c>
      <c r="Z336">
        <v>21098.133730158719</v>
      </c>
      <c r="AA336">
        <v>4933.5697247943726</v>
      </c>
    </row>
    <row r="337" spans="1:27" hidden="1">
      <c r="A337">
        <v>60</v>
      </c>
      <c r="B337">
        <v>1</v>
      </c>
      <c r="C337">
        <v>23.051753999999999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77.940131408624026</v>
      </c>
      <c r="M337">
        <v>4.41</v>
      </c>
      <c r="N337">
        <v>28.19</v>
      </c>
      <c r="O337">
        <v>0.16</v>
      </c>
      <c r="P337">
        <v>21.81</v>
      </c>
      <c r="Q337">
        <v>51.383724219932702</v>
      </c>
      <c r="R337">
        <v>0.28000000000000003</v>
      </c>
      <c r="S337">
        <v>30.73</v>
      </c>
      <c r="T337">
        <v>6.52</v>
      </c>
      <c r="U337">
        <v>6.9737033951261607</v>
      </c>
      <c r="V337">
        <v>15.836403596403599</v>
      </c>
      <c r="W337">
        <v>58.165972633489361</v>
      </c>
      <c r="X337">
        <v>12.15041538650549</v>
      </c>
      <c r="Y337">
        <v>7.7632058469985319</v>
      </c>
      <c r="Z337">
        <v>704.14056646433301</v>
      </c>
      <c r="AA337">
        <v>274.24051388888881</v>
      </c>
    </row>
    <row r="338" spans="1:27" hidden="1">
      <c r="A338">
        <v>65</v>
      </c>
      <c r="B338">
        <v>1</v>
      </c>
      <c r="C338">
        <v>29.745808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80.329905178155173</v>
      </c>
      <c r="M338">
        <v>7.36</v>
      </c>
      <c r="N338">
        <v>7.54</v>
      </c>
      <c r="O338">
        <v>0.98</v>
      </c>
      <c r="P338">
        <v>15.78</v>
      </c>
      <c r="Q338">
        <v>58.255620791930212</v>
      </c>
      <c r="R338">
        <v>0.28999999999999998</v>
      </c>
      <c r="S338">
        <v>31.78</v>
      </c>
      <c r="T338">
        <v>2.48</v>
      </c>
      <c r="U338">
        <v>6.7252878134936962</v>
      </c>
      <c r="V338">
        <v>17.12572473477227</v>
      </c>
      <c r="W338">
        <v>74.892884920634927</v>
      </c>
      <c r="X338">
        <v>15.55877092352093</v>
      </c>
      <c r="Y338">
        <v>9.6336915445665472</v>
      </c>
      <c r="Z338">
        <v>406.22976190476197</v>
      </c>
      <c r="AA338">
        <v>196.25054685592181</v>
      </c>
    </row>
    <row r="339" spans="1:27" hidden="1">
      <c r="A339">
        <v>63</v>
      </c>
      <c r="B339">
        <v>1</v>
      </c>
      <c r="C339">
        <v>25.510204000000002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63.222041005291018</v>
      </c>
      <c r="M339">
        <v>21.66</v>
      </c>
      <c r="N339">
        <v>53.49</v>
      </c>
      <c r="O339">
        <v>0.41</v>
      </c>
      <c r="P339">
        <v>30.89</v>
      </c>
      <c r="Q339">
        <v>29.905416028724481</v>
      </c>
      <c r="R339">
        <v>0.84</v>
      </c>
      <c r="S339">
        <v>27.65</v>
      </c>
      <c r="T339">
        <v>1.93</v>
      </c>
      <c r="U339">
        <v>4.123321123321122</v>
      </c>
      <c r="V339">
        <v>16.370593903264808</v>
      </c>
      <c r="W339">
        <v>65.358199134199154</v>
      </c>
      <c r="X339">
        <v>6.0481424392917322</v>
      </c>
      <c r="Y339">
        <v>5.0576395502645504</v>
      </c>
      <c r="Z339">
        <v>917.82590973208073</v>
      </c>
      <c r="AA339">
        <v>557.00420349580588</v>
      </c>
    </row>
    <row r="340" spans="1:27" hidden="1">
      <c r="A340">
        <v>69</v>
      </c>
      <c r="B340">
        <v>1</v>
      </c>
      <c r="C340">
        <v>22.985396999999999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65.871501922211053</v>
      </c>
      <c r="M340">
        <v>7.03</v>
      </c>
      <c r="N340">
        <v>88.45</v>
      </c>
      <c r="O340">
        <v>0.08</v>
      </c>
      <c r="P340">
        <v>37.299999999999997</v>
      </c>
      <c r="Q340">
        <v>30.08962697472009</v>
      </c>
      <c r="R340">
        <v>0.28999999999999998</v>
      </c>
      <c r="S340">
        <v>31.62</v>
      </c>
      <c r="T340">
        <v>9.9600000000000009</v>
      </c>
      <c r="U340">
        <v>7.3939193584193594</v>
      </c>
      <c r="V340">
        <v>18.536871168686389</v>
      </c>
      <c r="W340">
        <v>67.79337830687831</v>
      </c>
      <c r="X340">
        <v>11.724827511961729</v>
      </c>
      <c r="Y340">
        <v>7.6992907509157513</v>
      </c>
      <c r="Z340">
        <v>1521.2015811965809</v>
      </c>
      <c r="AA340">
        <v>718.1935082972584</v>
      </c>
    </row>
    <row r="341" spans="1:27" hidden="1">
      <c r="A341">
        <v>37</v>
      </c>
      <c r="B341">
        <v>0</v>
      </c>
      <c r="C341">
        <v>31.25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74.35569813811918</v>
      </c>
      <c r="M341">
        <v>230</v>
      </c>
      <c r="N341">
        <v>78.319999999999993</v>
      </c>
      <c r="O341">
        <v>2.94</v>
      </c>
      <c r="P341">
        <v>75.27</v>
      </c>
      <c r="Q341">
        <v>69.470612554700864</v>
      </c>
      <c r="R341">
        <v>0.68</v>
      </c>
      <c r="S341">
        <v>31.04</v>
      </c>
      <c r="T341">
        <v>7.54</v>
      </c>
      <c r="U341">
        <v>4.5989964684438362</v>
      </c>
      <c r="V341">
        <v>15.18069722464468</v>
      </c>
      <c r="W341">
        <v>47.157617533929333</v>
      </c>
      <c r="X341">
        <v>8.6075253121528892</v>
      </c>
      <c r="Y341">
        <v>3.6485885077398241</v>
      </c>
      <c r="Z341">
        <v>4241.8705674603189</v>
      </c>
      <c r="AA341">
        <v>2248.8718167307679</v>
      </c>
    </row>
    <row r="342" spans="1:27" hidden="1">
      <c r="A342">
        <v>40</v>
      </c>
      <c r="B342">
        <v>0</v>
      </c>
      <c r="C342">
        <v>19.628264999999999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79.777617177413219</v>
      </c>
      <c r="M342">
        <v>131.85</v>
      </c>
      <c r="N342">
        <v>46.2</v>
      </c>
      <c r="O342">
        <v>2.85</v>
      </c>
      <c r="P342">
        <v>71.11</v>
      </c>
      <c r="Q342">
        <v>62.056371095129037</v>
      </c>
      <c r="R342">
        <v>0.48</v>
      </c>
      <c r="S342">
        <v>29.39</v>
      </c>
      <c r="T342">
        <v>7.77</v>
      </c>
      <c r="U342">
        <v>6.0560987981316892</v>
      </c>
      <c r="V342">
        <v>13.0119971760759</v>
      </c>
      <c r="W342">
        <v>49.996386593535888</v>
      </c>
      <c r="X342">
        <v>9.6358894499220611</v>
      </c>
      <c r="Y342">
        <v>3.764382122792453</v>
      </c>
      <c r="Z342">
        <v>3611.064932539683</v>
      </c>
      <c r="AA342">
        <v>2026.043658659341</v>
      </c>
    </row>
    <row r="343" spans="1:27" hidden="1">
      <c r="A343">
        <v>32</v>
      </c>
      <c r="B343">
        <v>1</v>
      </c>
      <c r="C343">
        <v>26.989619999999999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69.032380719759374</v>
      </c>
      <c r="M343">
        <v>161.69999999999999</v>
      </c>
      <c r="N343">
        <v>149.53</v>
      </c>
      <c r="O343">
        <v>1.08</v>
      </c>
      <c r="P343">
        <v>69.290000000000006</v>
      </c>
      <c r="Q343">
        <v>47.057050471563791</v>
      </c>
      <c r="R343">
        <v>0.46</v>
      </c>
      <c r="S343">
        <v>30.36</v>
      </c>
      <c r="T343">
        <v>7.14</v>
      </c>
      <c r="U343">
        <v>5.0359468347914564</v>
      </c>
      <c r="V343">
        <v>15.044324569030371</v>
      </c>
      <c r="W343">
        <v>48.770191080710973</v>
      </c>
      <c r="X343">
        <v>11.09776282343387</v>
      </c>
      <c r="Y343">
        <v>3.355855774141105</v>
      </c>
      <c r="Z343">
        <v>3732.67159920635</v>
      </c>
      <c r="AA343">
        <v>2060.4085682387058</v>
      </c>
    </row>
    <row r="344" spans="1:27" hidden="1">
      <c r="A344">
        <v>38</v>
      </c>
      <c r="B344">
        <v>0</v>
      </c>
      <c r="C344">
        <v>21.453572999999999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83.382625773679791</v>
      </c>
      <c r="M344">
        <v>22.95</v>
      </c>
      <c r="N344">
        <v>62.39</v>
      </c>
      <c r="O344">
        <v>0.37</v>
      </c>
      <c r="P344">
        <v>41.5</v>
      </c>
      <c r="Q344">
        <v>32.992156943495431</v>
      </c>
      <c r="R344">
        <v>0.39</v>
      </c>
      <c r="S344">
        <v>30.06</v>
      </c>
      <c r="T344">
        <v>6</v>
      </c>
      <c r="U344">
        <v>6.2496843733039178</v>
      </c>
      <c r="V344">
        <v>13.38797942461809</v>
      </c>
      <c r="W344">
        <v>53.919778554291483</v>
      </c>
      <c r="X344">
        <v>11.007067987567989</v>
      </c>
      <c r="Y344">
        <v>4.6360006355433176</v>
      </c>
      <c r="Z344">
        <v>1738.6852116227999</v>
      </c>
      <c r="AA344">
        <v>1095.8513530081029</v>
      </c>
    </row>
    <row r="345" spans="1:27" hidden="1">
      <c r="A345">
        <v>52</v>
      </c>
      <c r="B345">
        <v>0</v>
      </c>
      <c r="C345">
        <v>35.338593000000003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63.748097847449827</v>
      </c>
      <c r="M345">
        <v>42.47</v>
      </c>
      <c r="N345">
        <v>169.06</v>
      </c>
      <c r="O345">
        <v>0.25</v>
      </c>
      <c r="P345">
        <v>47.82</v>
      </c>
      <c r="Q345">
        <v>26.021807252248699</v>
      </c>
      <c r="R345">
        <v>0.31</v>
      </c>
      <c r="S345">
        <v>30.73</v>
      </c>
      <c r="T345">
        <v>9.34</v>
      </c>
      <c r="U345">
        <v>4.6732897146712933</v>
      </c>
      <c r="V345">
        <v>16.502633677433678</v>
      </c>
      <c r="W345">
        <v>56.312921060230721</v>
      </c>
      <c r="X345">
        <v>10.122299062049059</v>
      </c>
      <c r="Y345">
        <v>3.304896103896104</v>
      </c>
      <c r="Z345">
        <v>2490.4517659007661</v>
      </c>
      <c r="AA345">
        <v>1193.7526558441559</v>
      </c>
    </row>
    <row r="346" spans="1:27" hidden="1">
      <c r="A346">
        <v>40</v>
      </c>
      <c r="B346">
        <v>0</v>
      </c>
      <c r="C346">
        <v>25.099499999999999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87.405170093795107</v>
      </c>
      <c r="M346">
        <v>16.649999999999999</v>
      </c>
      <c r="N346">
        <v>19.12</v>
      </c>
      <c r="O346">
        <v>0.87</v>
      </c>
      <c r="P346">
        <v>21</v>
      </c>
      <c r="Q346">
        <v>53.329303208045303</v>
      </c>
      <c r="R346">
        <v>0.49</v>
      </c>
      <c r="S346">
        <v>32.5</v>
      </c>
      <c r="T346">
        <v>4.41</v>
      </c>
      <c r="U346">
        <v>6.8761478924988628</v>
      </c>
      <c r="V346">
        <v>11.43217105215046</v>
      </c>
      <c r="W346">
        <v>62.712140569140573</v>
      </c>
      <c r="X346">
        <v>9.6576805416805431</v>
      </c>
      <c r="Y346">
        <v>6.023369622969625</v>
      </c>
      <c r="Z346">
        <v>501.88430735930729</v>
      </c>
      <c r="AA346">
        <v>250.05132191746159</v>
      </c>
    </row>
    <row r="347" spans="1:27">
      <c r="A347">
        <v>35</v>
      </c>
      <c r="B347">
        <v>0</v>
      </c>
      <c r="C347">
        <v>33.298650000000002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84.594092712842709</v>
      </c>
      <c r="M347">
        <v>6.19</v>
      </c>
      <c r="N347">
        <v>12.29</v>
      </c>
      <c r="O347">
        <v>0.5</v>
      </c>
      <c r="P347">
        <v>46.75</v>
      </c>
      <c r="Q347">
        <v>59.509302941247817</v>
      </c>
      <c r="R347">
        <v>0.12</v>
      </c>
      <c r="S347">
        <v>24.31</v>
      </c>
      <c r="T347">
        <v>8.0500000000000007</v>
      </c>
      <c r="U347">
        <v>12.507113445378151</v>
      </c>
      <c r="V347">
        <v>23.484633645306179</v>
      </c>
      <c r="W347">
        <v>55.854417692654103</v>
      </c>
      <c r="X347">
        <v>25.414384294068508</v>
      </c>
      <c r="Y347">
        <v>20.735192307692319</v>
      </c>
      <c r="Z347">
        <v>2088.5988707958709</v>
      </c>
      <c r="AA347">
        <v>1106.131113275613</v>
      </c>
    </row>
    <row r="348" spans="1:27" hidden="1">
      <c r="A348">
        <v>27</v>
      </c>
      <c r="B348">
        <v>1</v>
      </c>
      <c r="C348">
        <v>18.590123999999999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83.012755027680228</v>
      </c>
      <c r="M348">
        <v>3377.47</v>
      </c>
      <c r="N348">
        <v>3853.96</v>
      </c>
      <c r="O348">
        <v>0.88</v>
      </c>
      <c r="P348">
        <v>209.2</v>
      </c>
      <c r="Q348">
        <v>28.071009917691232</v>
      </c>
      <c r="R348">
        <v>0.52</v>
      </c>
      <c r="S348">
        <v>29.06</v>
      </c>
      <c r="T348">
        <v>33.39</v>
      </c>
      <c r="U348">
        <v>4.9457738095238097</v>
      </c>
      <c r="V348">
        <v>7.114328005328006</v>
      </c>
      <c r="W348">
        <v>43.861494452799519</v>
      </c>
      <c r="X348">
        <v>9.208596156767209</v>
      </c>
      <c r="Y348">
        <v>1.8928770013456919</v>
      </c>
      <c r="Z348">
        <v>20290.050912698411</v>
      </c>
      <c r="AA348">
        <v>2291.5613575324669</v>
      </c>
    </row>
    <row r="349" spans="1:27" hidden="1">
      <c r="A349">
        <v>44</v>
      </c>
      <c r="B349">
        <v>0</v>
      </c>
      <c r="C349">
        <v>21.501885999999999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75.486130979314808</v>
      </c>
      <c r="M349">
        <v>3854.71</v>
      </c>
      <c r="N349">
        <v>2732.18</v>
      </c>
      <c r="O349">
        <v>1.41</v>
      </c>
      <c r="P349">
        <v>229.78</v>
      </c>
      <c r="Q349">
        <v>23.879551413981609</v>
      </c>
      <c r="R349">
        <v>0.6</v>
      </c>
      <c r="S349">
        <v>29.87</v>
      </c>
      <c r="T349">
        <v>25.42</v>
      </c>
      <c r="U349">
        <v>4.7128052835322576</v>
      </c>
      <c r="V349">
        <v>7.6573714224843261</v>
      </c>
      <c r="W349">
        <v>40.700256592030001</v>
      </c>
      <c r="X349">
        <v>6.6682828372364984</v>
      </c>
      <c r="Y349">
        <v>2.0879761749688219</v>
      </c>
      <c r="Z349">
        <v>16880.7198531746</v>
      </c>
      <c r="AA349">
        <v>3269.3421222943712</v>
      </c>
    </row>
    <row r="350" spans="1:27" hidden="1">
      <c r="A350">
        <v>44</v>
      </c>
      <c r="B350">
        <v>0</v>
      </c>
      <c r="C350">
        <v>20.324438000000001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69.898639025725245</v>
      </c>
      <c r="M350">
        <v>66.680000000000007</v>
      </c>
      <c r="N350">
        <v>97.47</v>
      </c>
      <c r="O350">
        <v>0.68</v>
      </c>
      <c r="P350">
        <v>45.17</v>
      </c>
      <c r="Q350">
        <v>32.606215757773612</v>
      </c>
      <c r="R350">
        <v>2.0499999999999998</v>
      </c>
      <c r="S350">
        <v>29.82</v>
      </c>
      <c r="T350">
        <v>6</v>
      </c>
      <c r="U350">
        <v>2.9082905368214291</v>
      </c>
      <c r="V350">
        <v>13.12083694396717</v>
      </c>
      <c r="W350">
        <v>50.961491325590693</v>
      </c>
      <c r="X350">
        <v>4.2464889001506316</v>
      </c>
      <c r="Y350">
        <v>3.284557634201597</v>
      </c>
      <c r="Z350">
        <v>1769.7420774976649</v>
      </c>
      <c r="AA350">
        <v>1128.548992035742</v>
      </c>
    </row>
    <row r="351" spans="1:27" hidden="1">
      <c r="A351">
        <v>37</v>
      </c>
      <c r="B351">
        <v>0</v>
      </c>
      <c r="C351">
        <v>21.231204999999999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73.68789830887394</v>
      </c>
      <c r="M351">
        <v>71.930000000000007</v>
      </c>
      <c r="N351">
        <v>279.26</v>
      </c>
      <c r="O351">
        <v>0.26</v>
      </c>
      <c r="P351">
        <v>63.19</v>
      </c>
      <c r="Q351">
        <v>23.497920734737558</v>
      </c>
      <c r="R351">
        <v>0.32</v>
      </c>
      <c r="S351">
        <v>29.29</v>
      </c>
      <c r="T351">
        <v>11.79</v>
      </c>
      <c r="U351">
        <v>6.6347367851446792</v>
      </c>
      <c r="V351">
        <v>14.78391444491181</v>
      </c>
      <c r="W351">
        <v>55.027923972060833</v>
      </c>
      <c r="X351">
        <v>12.19073556998557</v>
      </c>
      <c r="Y351">
        <v>5.0695294705294707</v>
      </c>
      <c r="Z351">
        <v>3313.7997500000001</v>
      </c>
      <c r="AA351">
        <v>1227.8744257344881</v>
      </c>
    </row>
    <row r="352" spans="1:27" hidden="1">
      <c r="A352">
        <v>42</v>
      </c>
      <c r="B352">
        <v>0</v>
      </c>
      <c r="C352">
        <v>25.390625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73.043493213435426</v>
      </c>
      <c r="M352">
        <v>28.62</v>
      </c>
      <c r="N352">
        <v>32.21</v>
      </c>
      <c r="O352">
        <v>0.89</v>
      </c>
      <c r="P352">
        <v>39.24</v>
      </c>
      <c r="Q352">
        <v>55.393698670228197</v>
      </c>
      <c r="R352">
        <v>0.48</v>
      </c>
      <c r="S352">
        <v>28</v>
      </c>
      <c r="T352">
        <v>5.0999999999999996</v>
      </c>
      <c r="U352">
        <v>5.4693546890721514</v>
      </c>
      <c r="V352">
        <v>12.600637712529011</v>
      </c>
      <c r="W352">
        <v>47.262587430108077</v>
      </c>
      <c r="X352">
        <v>8.7281332833832863</v>
      </c>
      <c r="Y352">
        <v>4.5734662097162087</v>
      </c>
      <c r="Z352">
        <v>1538.4540634920641</v>
      </c>
      <c r="AA352">
        <v>1093.3796500721501</v>
      </c>
    </row>
    <row r="353" spans="1:27">
      <c r="A353">
        <v>37</v>
      </c>
      <c r="B353">
        <v>0</v>
      </c>
      <c r="C353">
        <v>44.581023999999999</v>
      </c>
      <c r="D353">
        <v>0</v>
      </c>
      <c r="E353">
        <v>0</v>
      </c>
      <c r="F353">
        <v>1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74.454230519480518</v>
      </c>
      <c r="M353">
        <v>2763.4</v>
      </c>
      <c r="N353">
        <v>7117.73</v>
      </c>
      <c r="O353">
        <v>0.39</v>
      </c>
      <c r="P353">
        <v>309.56</v>
      </c>
      <c r="Q353">
        <v>25.42840799901068</v>
      </c>
      <c r="R353">
        <v>0.51</v>
      </c>
      <c r="S353">
        <v>27.1</v>
      </c>
      <c r="T353">
        <v>24.73</v>
      </c>
      <c r="U353">
        <v>13.509302893185239</v>
      </c>
      <c r="V353">
        <v>26.128035714285719</v>
      </c>
      <c r="W353">
        <v>59.018767454767463</v>
      </c>
      <c r="X353">
        <v>23.469173382173381</v>
      </c>
      <c r="Y353">
        <v>19.894811860361859</v>
      </c>
      <c r="Z353">
        <v>19150.029202380949</v>
      </c>
      <c r="AA353">
        <v>4651.1266666666661</v>
      </c>
    </row>
    <row r="354" spans="1:27" hidden="1">
      <c r="A354">
        <v>40</v>
      </c>
      <c r="B354">
        <v>0</v>
      </c>
      <c r="C354">
        <v>20.82094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86.698458521550933</v>
      </c>
      <c r="M354">
        <v>27.8</v>
      </c>
      <c r="N354">
        <v>25.84</v>
      </c>
      <c r="O354">
        <v>1.08</v>
      </c>
      <c r="P354">
        <v>24.85</v>
      </c>
      <c r="Q354">
        <v>53.733076672862062</v>
      </c>
      <c r="R354">
        <v>0.34</v>
      </c>
      <c r="S354">
        <v>29.99</v>
      </c>
      <c r="T354">
        <v>6.2</v>
      </c>
      <c r="U354">
        <v>6.2778818074487193</v>
      </c>
      <c r="V354">
        <v>12.098752601199971</v>
      </c>
      <c r="W354">
        <v>54.585600314284463</v>
      </c>
      <c r="X354">
        <v>11.099164141414141</v>
      </c>
      <c r="Y354">
        <v>5.1517281319031669</v>
      </c>
      <c r="Z354">
        <v>654.60722112351925</v>
      </c>
      <c r="AA354">
        <v>425.26276673326691</v>
      </c>
    </row>
    <row r="355" spans="1:27" hidden="1">
      <c r="A355">
        <v>43</v>
      </c>
      <c r="B355">
        <v>0</v>
      </c>
      <c r="C355">
        <v>27.968015999999999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69.317070105820122</v>
      </c>
      <c r="M355">
        <v>50.68</v>
      </c>
      <c r="N355">
        <v>89.42</v>
      </c>
      <c r="O355">
        <v>0.56999999999999995</v>
      </c>
      <c r="P355">
        <v>57.91</v>
      </c>
      <c r="Q355">
        <v>34.736495935408513</v>
      </c>
      <c r="R355">
        <v>0.4</v>
      </c>
      <c r="S355">
        <v>31.53</v>
      </c>
      <c r="T355">
        <v>6.55</v>
      </c>
      <c r="U355">
        <v>4.9995790373841844</v>
      </c>
      <c r="V355">
        <v>15.32700622560909</v>
      </c>
      <c r="W355">
        <v>54.239969103619543</v>
      </c>
      <c r="X355">
        <v>9.1744285714285709</v>
      </c>
      <c r="Y355">
        <v>3.5443549403812571</v>
      </c>
      <c r="Z355">
        <v>2554.4188818375028</v>
      </c>
      <c r="AA355">
        <v>1663.2099148351649</v>
      </c>
    </row>
    <row r="356" spans="1:27" hidden="1">
      <c r="A356">
        <v>33</v>
      </c>
      <c r="B356">
        <v>0</v>
      </c>
      <c r="C356">
        <v>26.5625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68.560920402299018</v>
      </c>
      <c r="M356">
        <v>138.52000000000001</v>
      </c>
      <c r="N356">
        <v>153.09</v>
      </c>
      <c r="O356">
        <v>0.9</v>
      </c>
      <c r="P356">
        <v>62.76</v>
      </c>
      <c r="Q356">
        <v>45.887441020052677</v>
      </c>
      <c r="R356">
        <v>0.64</v>
      </c>
      <c r="S356">
        <v>29.26</v>
      </c>
      <c r="T356">
        <v>7.36</v>
      </c>
      <c r="U356">
        <v>4.8642978405108828</v>
      </c>
      <c r="V356">
        <v>13.60612778037841</v>
      </c>
      <c r="W356">
        <v>45.598556187735817</v>
      </c>
      <c r="X356">
        <v>10.633070596070599</v>
      </c>
      <c r="Y356">
        <v>3.4830782599885901</v>
      </c>
      <c r="Z356">
        <v>3466.531833333333</v>
      </c>
      <c r="AA356">
        <v>2045.9355210006111</v>
      </c>
    </row>
    <row r="357" spans="1:27" hidden="1">
      <c r="A357">
        <v>27</v>
      </c>
      <c r="B357">
        <v>0</v>
      </c>
      <c r="C357">
        <v>19.921875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85.212363705738696</v>
      </c>
      <c r="M357">
        <v>4467.6899999999996</v>
      </c>
      <c r="N357">
        <v>6154.49</v>
      </c>
      <c r="O357">
        <v>0.73</v>
      </c>
      <c r="P357">
        <v>343.31</v>
      </c>
      <c r="Q357">
        <v>27.31742398112528</v>
      </c>
      <c r="R357">
        <v>0.15</v>
      </c>
      <c r="S357">
        <v>23.79</v>
      </c>
      <c r="T357">
        <v>33.979999999999997</v>
      </c>
      <c r="U357">
        <v>5.7090259740259741</v>
      </c>
      <c r="V357">
        <v>12.63800015919753</v>
      </c>
      <c r="W357">
        <v>49.797627304254291</v>
      </c>
      <c r="X357">
        <v>10.52092171717171</v>
      </c>
      <c r="Y357">
        <v>3.5199160406586878</v>
      </c>
      <c r="Z357">
        <v>27631.614924603171</v>
      </c>
      <c r="AA357">
        <v>4609.0533127705621</v>
      </c>
    </row>
    <row r="358" spans="1:27" hidden="1">
      <c r="A358">
        <v>39</v>
      </c>
      <c r="B358">
        <v>1</v>
      </c>
      <c r="C358">
        <v>22.571047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81.457216450216478</v>
      </c>
      <c r="M358">
        <v>71.88</v>
      </c>
      <c r="N358">
        <v>73.59</v>
      </c>
      <c r="O358">
        <v>0.98</v>
      </c>
      <c r="P358">
        <v>41.56</v>
      </c>
      <c r="Q358">
        <v>39.681261823629733</v>
      </c>
      <c r="R358">
        <v>1.22</v>
      </c>
      <c r="S358">
        <v>30.18</v>
      </c>
      <c r="T358">
        <v>6.13</v>
      </c>
      <c r="U358">
        <v>3.5870839160839161</v>
      </c>
      <c r="V358">
        <v>13.39515475411511</v>
      </c>
      <c r="W358">
        <v>48.833543758995432</v>
      </c>
      <c r="X358">
        <v>2.7825592532500512</v>
      </c>
      <c r="Y358">
        <v>3.0508383085238342</v>
      </c>
      <c r="Z358">
        <v>1762.635815713154</v>
      </c>
      <c r="AA358">
        <v>1092.7303232045731</v>
      </c>
    </row>
    <row r="359" spans="1:27" hidden="1">
      <c r="A359">
        <v>39</v>
      </c>
      <c r="B359">
        <v>0</v>
      </c>
      <c r="C359">
        <v>26.037495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95.130020562770568</v>
      </c>
      <c r="M359">
        <v>9.1300000000000008</v>
      </c>
      <c r="N359">
        <v>1.81</v>
      </c>
      <c r="O359">
        <v>5.04</v>
      </c>
      <c r="P359">
        <v>13.67</v>
      </c>
      <c r="Q359">
        <v>60.624834710799441</v>
      </c>
      <c r="R359">
        <v>0.44</v>
      </c>
      <c r="S359">
        <v>32.159999999999997</v>
      </c>
      <c r="T359">
        <v>2.2599999999999998</v>
      </c>
      <c r="U359">
        <v>7.9680850122100129</v>
      </c>
      <c r="V359">
        <v>14.27726875901876</v>
      </c>
      <c r="W359">
        <v>63.703213681213683</v>
      </c>
      <c r="X359">
        <v>15.856196842046851</v>
      </c>
      <c r="Y359">
        <v>9.4430033531283541</v>
      </c>
      <c r="Z359">
        <v>225.53617857142851</v>
      </c>
      <c r="AA359">
        <v>163.43055296092811</v>
      </c>
    </row>
    <row r="360" spans="1:27" hidden="1">
      <c r="A360">
        <v>35</v>
      </c>
      <c r="B360">
        <v>0</v>
      </c>
      <c r="C360">
        <v>21.786493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77.678391334459036</v>
      </c>
      <c r="M360">
        <v>33.21</v>
      </c>
      <c r="N360">
        <v>77.47</v>
      </c>
      <c r="O360">
        <v>0.43</v>
      </c>
      <c r="P360">
        <v>53.53</v>
      </c>
      <c r="Q360">
        <v>33.172766421566273</v>
      </c>
      <c r="R360">
        <v>0.44</v>
      </c>
      <c r="S360">
        <v>30.86</v>
      </c>
      <c r="T360">
        <v>10.65</v>
      </c>
      <c r="U360">
        <v>5.5092178212868994</v>
      </c>
      <c r="V360">
        <v>11.978672136495589</v>
      </c>
      <c r="W360">
        <v>53.224675339627083</v>
      </c>
      <c r="X360">
        <v>11.463949855699861</v>
      </c>
      <c r="Y360">
        <v>3.7582196796232319</v>
      </c>
      <c r="Z360">
        <v>2435.74770901686</v>
      </c>
      <c r="AA360">
        <v>1256.7821861471859</v>
      </c>
    </row>
    <row r="361" spans="1:27" hidden="1">
      <c r="A361">
        <v>25</v>
      </c>
      <c r="B361">
        <v>0</v>
      </c>
      <c r="C361">
        <v>19.571681999999999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68.921495093170321</v>
      </c>
      <c r="M361">
        <v>1129.78</v>
      </c>
      <c r="N361">
        <v>1359.74</v>
      </c>
      <c r="O361">
        <v>0.83</v>
      </c>
      <c r="P361">
        <v>122.03</v>
      </c>
      <c r="Q361">
        <v>33.130377051711037</v>
      </c>
      <c r="R361">
        <v>0.28000000000000003</v>
      </c>
      <c r="S361">
        <v>31.65</v>
      </c>
      <c r="T361">
        <v>25.09</v>
      </c>
      <c r="U361">
        <v>5.9596093175117577</v>
      </c>
      <c r="V361">
        <v>15.126378149628151</v>
      </c>
      <c r="W361">
        <v>59.420248107614718</v>
      </c>
      <c r="X361">
        <v>12.313296176046171</v>
      </c>
      <c r="Y361">
        <v>4.6437825897002716</v>
      </c>
      <c r="Z361">
        <v>5600.1285873015868</v>
      </c>
      <c r="AA361">
        <v>1857.966845127095</v>
      </c>
    </row>
    <row r="362" spans="1:27" hidden="1">
      <c r="A362">
        <v>48</v>
      </c>
      <c r="B362">
        <v>0</v>
      </c>
      <c r="C362">
        <v>29.752065999999999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82.051387827858392</v>
      </c>
      <c r="M362">
        <v>12.51</v>
      </c>
      <c r="N362">
        <v>9.17</v>
      </c>
      <c r="O362">
        <v>1.36</v>
      </c>
      <c r="P362">
        <v>19.850000000000001</v>
      </c>
      <c r="Q362">
        <v>56.27104930695922</v>
      </c>
      <c r="R362">
        <v>0.54</v>
      </c>
      <c r="S362">
        <v>29.72</v>
      </c>
      <c r="T362">
        <v>4.2</v>
      </c>
      <c r="U362">
        <v>5.4231225692454021</v>
      </c>
      <c r="V362">
        <v>10.725888588464681</v>
      </c>
      <c r="W362">
        <v>52.796595114572511</v>
      </c>
      <c r="X362">
        <v>8.9390901875901871</v>
      </c>
      <c r="Y362">
        <v>5.2598725228475223</v>
      </c>
      <c r="Z362">
        <v>381.84169627594639</v>
      </c>
      <c r="AA362">
        <v>243.7623197529594</v>
      </c>
    </row>
    <row r="363" spans="1:27" hidden="1">
      <c r="A363">
        <v>54</v>
      </c>
      <c r="B363">
        <v>1</v>
      </c>
      <c r="C363">
        <v>23.140495000000001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63.172344838424671</v>
      </c>
      <c r="M363">
        <v>1088.74</v>
      </c>
      <c r="N363">
        <v>329.65</v>
      </c>
      <c r="O363">
        <v>3.3</v>
      </c>
      <c r="P363">
        <v>80.73</v>
      </c>
      <c r="Q363">
        <v>64.216654051466435</v>
      </c>
      <c r="R363">
        <v>0.66</v>
      </c>
      <c r="S363">
        <v>30.41</v>
      </c>
      <c r="T363">
        <v>7.06</v>
      </c>
      <c r="U363">
        <v>4.1150181635231116</v>
      </c>
      <c r="V363">
        <v>14.299366914117</v>
      </c>
      <c r="W363">
        <v>54.113268115300713</v>
      </c>
      <c r="X363">
        <v>6.1253393085429719</v>
      </c>
      <c r="Y363">
        <v>3.1772707285742818</v>
      </c>
      <c r="Z363">
        <v>4674.8718174603182</v>
      </c>
      <c r="AA363">
        <v>2466.5161175079361</v>
      </c>
    </row>
    <row r="364" spans="1:27" hidden="1">
      <c r="A364">
        <v>31</v>
      </c>
      <c r="B364">
        <v>0</v>
      </c>
      <c r="C364">
        <v>26.297577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74.215501775271505</v>
      </c>
      <c r="M364">
        <v>56.86</v>
      </c>
      <c r="N364">
        <v>113.06</v>
      </c>
      <c r="O364">
        <v>0.5</v>
      </c>
      <c r="P364">
        <v>53.38</v>
      </c>
      <c r="Q364">
        <v>31.59434124657388</v>
      </c>
      <c r="R364">
        <v>0.17</v>
      </c>
      <c r="S364">
        <v>32.020000000000003</v>
      </c>
      <c r="T364">
        <v>8.27</v>
      </c>
      <c r="U364">
        <v>5.3749274591654226</v>
      </c>
      <c r="V364">
        <v>14.87115343545344</v>
      </c>
      <c r="W364">
        <v>60.799628956924153</v>
      </c>
      <c r="X364">
        <v>11.920287157287159</v>
      </c>
      <c r="Y364">
        <v>4.6368353147529966</v>
      </c>
      <c r="Z364">
        <v>2720.0515614699621</v>
      </c>
      <c r="AA364">
        <v>1237.1352034632041</v>
      </c>
    </row>
    <row r="365" spans="1:27" hidden="1">
      <c r="A365">
        <v>39</v>
      </c>
      <c r="B365">
        <v>0</v>
      </c>
      <c r="C365">
        <v>23.388687000000001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68.715227003073281</v>
      </c>
      <c r="M365">
        <v>1612.85</v>
      </c>
      <c r="N365">
        <v>3916.55</v>
      </c>
      <c r="O365">
        <v>0.41</v>
      </c>
      <c r="P365">
        <v>196.38</v>
      </c>
      <c r="Q365">
        <v>28.995113744422628</v>
      </c>
      <c r="R365">
        <v>0.98</v>
      </c>
      <c r="S365">
        <v>26.62</v>
      </c>
      <c r="T365">
        <v>17.25</v>
      </c>
      <c r="U365">
        <v>4.1542232156519239</v>
      </c>
      <c r="V365">
        <v>10.869453332911061</v>
      </c>
      <c r="W365">
        <v>44.761875829627883</v>
      </c>
      <c r="X365">
        <v>3.817366357045596</v>
      </c>
      <c r="Y365">
        <v>2.4943029749804051</v>
      </c>
      <c r="Z365">
        <v>12395.177793650801</v>
      </c>
      <c r="AA365">
        <v>2166.9459668658001</v>
      </c>
    </row>
    <row r="366" spans="1:27" hidden="1">
      <c r="A366">
        <v>45</v>
      </c>
      <c r="B366">
        <v>0</v>
      </c>
      <c r="C366">
        <v>28.303850000000001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66.704215484181944</v>
      </c>
      <c r="M366">
        <v>470.74</v>
      </c>
      <c r="N366">
        <v>941.12</v>
      </c>
      <c r="O366">
        <v>0.5</v>
      </c>
      <c r="P366">
        <v>148.54</v>
      </c>
      <c r="Q366">
        <v>35.115654717145738</v>
      </c>
      <c r="R366">
        <v>0.1</v>
      </c>
      <c r="S366">
        <v>21.85</v>
      </c>
      <c r="T366">
        <v>17.03</v>
      </c>
      <c r="U366">
        <v>4.9956939257140123</v>
      </c>
      <c r="V366">
        <v>17.50495344100344</v>
      </c>
      <c r="W366">
        <v>52.271497417362852</v>
      </c>
      <c r="X366">
        <v>10.392728715728721</v>
      </c>
      <c r="Y366">
        <v>5.0387625264302098</v>
      </c>
      <c r="Z366">
        <v>5103.5817380952394</v>
      </c>
      <c r="AA366">
        <v>2119.012273088023</v>
      </c>
    </row>
    <row r="367" spans="1:27" hidden="1">
      <c r="A367">
        <v>32</v>
      </c>
      <c r="B367">
        <v>0</v>
      </c>
      <c r="C367">
        <v>24.840979999999998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74.25799105061607</v>
      </c>
      <c r="M367">
        <v>8150.92</v>
      </c>
      <c r="N367">
        <v>3116.52</v>
      </c>
      <c r="O367">
        <v>2.62</v>
      </c>
      <c r="P367">
        <v>456.22</v>
      </c>
      <c r="Q367">
        <v>27.55787794055701</v>
      </c>
      <c r="R367">
        <v>0.14000000000000001</v>
      </c>
      <c r="S367">
        <v>23.67</v>
      </c>
      <c r="T367">
        <v>25.19</v>
      </c>
      <c r="U367">
        <v>6.193792929292929</v>
      </c>
      <c r="V367">
        <v>14.82824239473976</v>
      </c>
      <c r="W367">
        <v>50.626894076210633</v>
      </c>
      <c r="X367">
        <v>11.44556601731602</v>
      </c>
      <c r="Y367">
        <v>4.9447492480419317</v>
      </c>
      <c r="Z367">
        <v>21925.208492063481</v>
      </c>
      <c r="AA367">
        <v>4831.8984556277064</v>
      </c>
    </row>
    <row r="368" spans="1:27" hidden="1">
      <c r="A368">
        <v>46</v>
      </c>
      <c r="B368">
        <v>0</v>
      </c>
      <c r="C368">
        <v>27.885186999999998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63.87300924955926</v>
      </c>
      <c r="M368">
        <v>185.32</v>
      </c>
      <c r="N368">
        <v>197.93</v>
      </c>
      <c r="O368">
        <v>0.94</v>
      </c>
      <c r="P368">
        <v>63.86</v>
      </c>
      <c r="Q368">
        <v>39.85141023013415</v>
      </c>
      <c r="R368">
        <v>0.42</v>
      </c>
      <c r="S368">
        <v>27.58</v>
      </c>
      <c r="T368">
        <v>7.53</v>
      </c>
      <c r="U368">
        <v>4.8122793125493981</v>
      </c>
      <c r="V368">
        <v>16.63065410628019</v>
      </c>
      <c r="W368">
        <v>48.042042063566221</v>
      </c>
      <c r="X368">
        <v>9.5394747474747472</v>
      </c>
      <c r="Y368">
        <v>4.7877995033421872</v>
      </c>
      <c r="Z368">
        <v>3644.5463730158731</v>
      </c>
      <c r="AA368">
        <v>2048.6521352777781</v>
      </c>
    </row>
    <row r="369" spans="1:27" hidden="1">
      <c r="A369">
        <v>23</v>
      </c>
      <c r="B369">
        <v>1</v>
      </c>
      <c r="C369">
        <v>31.018090999999998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67.58234241178738</v>
      </c>
      <c r="M369">
        <v>2534.16</v>
      </c>
      <c r="N369">
        <v>1644.65</v>
      </c>
      <c r="O369">
        <v>1.54</v>
      </c>
      <c r="P369">
        <v>131.88</v>
      </c>
      <c r="Q369">
        <v>32.454987612965837</v>
      </c>
      <c r="R369">
        <v>1.08</v>
      </c>
      <c r="S369">
        <v>27.96</v>
      </c>
      <c r="T369">
        <v>22.92</v>
      </c>
      <c r="U369">
        <v>3.7598022942530598</v>
      </c>
      <c r="V369">
        <v>14.85302467331687</v>
      </c>
      <c r="W369">
        <v>45.303428315054809</v>
      </c>
      <c r="X369">
        <v>4.860133693254828</v>
      </c>
      <c r="Y369">
        <v>3.2314710123886949</v>
      </c>
      <c r="Z369">
        <v>11272.12275793651</v>
      </c>
      <c r="AA369">
        <v>2283.515621659451</v>
      </c>
    </row>
    <row r="370" spans="1:27" hidden="1">
      <c r="A370">
        <v>42</v>
      </c>
      <c r="B370">
        <v>0</v>
      </c>
      <c r="C370">
        <v>21.641273000000002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66.680064727048546</v>
      </c>
      <c r="M370">
        <v>213.61</v>
      </c>
      <c r="N370">
        <v>305</v>
      </c>
      <c r="O370">
        <v>0.7</v>
      </c>
      <c r="P370">
        <v>81.489999999999995</v>
      </c>
      <c r="Q370">
        <v>33.247774083517648</v>
      </c>
      <c r="R370">
        <v>0.25</v>
      </c>
      <c r="S370">
        <v>30.27</v>
      </c>
      <c r="T370">
        <v>12.12</v>
      </c>
      <c r="U370">
        <v>5.4169516403935543</v>
      </c>
      <c r="V370">
        <v>15.61452516752254</v>
      </c>
      <c r="W370">
        <v>54.562832485576557</v>
      </c>
      <c r="X370">
        <v>10.668911255411251</v>
      </c>
      <c r="Y370">
        <v>4.9232883894560731</v>
      </c>
      <c r="Z370">
        <v>4687.5699246031754</v>
      </c>
      <c r="AA370">
        <v>2233.5197031825401</v>
      </c>
    </row>
    <row r="371" spans="1:27" hidden="1">
      <c r="A371">
        <v>26</v>
      </c>
      <c r="B371">
        <v>0</v>
      </c>
      <c r="C371">
        <v>23.456558000000001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72.313266815367442</v>
      </c>
      <c r="M371">
        <v>71.760000000000005</v>
      </c>
      <c r="N371">
        <v>157.68</v>
      </c>
      <c r="O371">
        <v>0.46</v>
      </c>
      <c r="P371">
        <v>60.62</v>
      </c>
      <c r="Q371">
        <v>29.07380632116115</v>
      </c>
      <c r="R371">
        <v>0.31</v>
      </c>
      <c r="S371">
        <v>26.41</v>
      </c>
      <c r="T371">
        <v>14.84</v>
      </c>
      <c r="U371">
        <v>5.4273623262702202</v>
      </c>
      <c r="V371">
        <v>14.876636189833549</v>
      </c>
      <c r="W371">
        <v>51.433541001947617</v>
      </c>
      <c r="X371">
        <v>12.3737380952381</v>
      </c>
      <c r="Y371">
        <v>4.0005194484297792</v>
      </c>
      <c r="Z371">
        <v>3319.3793888888899</v>
      </c>
      <c r="AA371">
        <v>1498.5368134212461</v>
      </c>
    </row>
    <row r="372" spans="1:27" hidden="1">
      <c r="A372">
        <v>53</v>
      </c>
      <c r="B372">
        <v>1</v>
      </c>
      <c r="C372">
        <v>27.732299999999999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69.467388407888421</v>
      </c>
      <c r="M372">
        <v>43.27</v>
      </c>
      <c r="N372">
        <v>28.09</v>
      </c>
      <c r="O372">
        <v>1.54</v>
      </c>
      <c r="P372">
        <v>35.58</v>
      </c>
      <c r="Q372">
        <v>51.886532007985288</v>
      </c>
      <c r="R372">
        <v>0.26</v>
      </c>
      <c r="S372">
        <v>31.15</v>
      </c>
      <c r="T372">
        <v>3.58</v>
      </c>
      <c r="U372">
        <v>4.7525215922708188</v>
      </c>
      <c r="V372">
        <v>12.882635161229789</v>
      </c>
      <c r="W372">
        <v>58.67572275290668</v>
      </c>
      <c r="X372">
        <v>9.9709126984127003</v>
      </c>
      <c r="Y372">
        <v>3.6284383569646721</v>
      </c>
      <c r="Z372">
        <v>1428.3295544733039</v>
      </c>
      <c r="AA372">
        <v>734.95944655344681</v>
      </c>
    </row>
    <row r="373" spans="1:27" hidden="1">
      <c r="A373">
        <v>24</v>
      </c>
      <c r="B373">
        <v>0</v>
      </c>
      <c r="C373">
        <v>23.711845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73.523500923999336</v>
      </c>
      <c r="M373">
        <v>101.84</v>
      </c>
      <c r="N373">
        <v>145.84</v>
      </c>
      <c r="O373">
        <v>0.7</v>
      </c>
      <c r="P373">
        <v>43.66</v>
      </c>
      <c r="Q373">
        <v>35.354314158657267</v>
      </c>
      <c r="R373">
        <v>0.45</v>
      </c>
      <c r="S373">
        <v>29.29</v>
      </c>
      <c r="T373">
        <v>11.76</v>
      </c>
      <c r="U373">
        <v>5.1354676303228928</v>
      </c>
      <c r="V373">
        <v>12.10409713468581</v>
      </c>
      <c r="W373">
        <v>50.038010520454208</v>
      </c>
      <c r="X373">
        <v>11.584076839826841</v>
      </c>
      <c r="Y373">
        <v>3.160264518174849</v>
      </c>
      <c r="Z373">
        <v>1888.032510829149</v>
      </c>
      <c r="AA373">
        <v>1067.264546869797</v>
      </c>
    </row>
    <row r="374" spans="1:27" hidden="1">
      <c r="A374">
        <v>54</v>
      </c>
      <c r="B374">
        <v>1</v>
      </c>
      <c r="C374">
        <v>26.491508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67.280930833055862</v>
      </c>
      <c r="M374">
        <v>128.44</v>
      </c>
      <c r="N374">
        <v>55.65</v>
      </c>
      <c r="O374">
        <v>2.31</v>
      </c>
      <c r="P374">
        <v>42.37</v>
      </c>
      <c r="Q374">
        <v>54.107941292499873</v>
      </c>
      <c r="R374">
        <v>0.3</v>
      </c>
      <c r="S374">
        <v>30.15</v>
      </c>
      <c r="T374">
        <v>5.73</v>
      </c>
      <c r="U374">
        <v>4.4684988649980912</v>
      </c>
      <c r="V374">
        <v>13.875311200876419</v>
      </c>
      <c r="W374">
        <v>53.638351531984043</v>
      </c>
      <c r="X374">
        <v>9.6329404761904769</v>
      </c>
      <c r="Y374">
        <v>3.2432920274170272</v>
      </c>
      <c r="Z374">
        <v>2006.843264935065</v>
      </c>
      <c r="AA374">
        <v>1280.272356161616</v>
      </c>
    </row>
    <row r="375" spans="1:27" hidden="1">
      <c r="A375">
        <v>43</v>
      </c>
      <c r="B375">
        <v>0</v>
      </c>
      <c r="C375">
        <v>23.147255000000001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91.345165293040282</v>
      </c>
      <c r="M375">
        <v>4661.1899999999996</v>
      </c>
      <c r="N375">
        <v>6953.17</v>
      </c>
      <c r="O375">
        <v>0.67</v>
      </c>
      <c r="P375">
        <v>326.10000000000002</v>
      </c>
      <c r="Q375">
        <v>21.64564976949293</v>
      </c>
      <c r="R375">
        <v>0.19</v>
      </c>
      <c r="S375">
        <v>23.89</v>
      </c>
      <c r="T375">
        <v>32.78</v>
      </c>
      <c r="U375">
        <v>5.6844928404928403</v>
      </c>
      <c r="V375">
        <v>12.827620204795201</v>
      </c>
      <c r="W375">
        <v>50.468793021577902</v>
      </c>
      <c r="X375">
        <v>8.1974534632034608</v>
      </c>
      <c r="Y375">
        <v>2.764481586224234</v>
      </c>
      <c r="Z375">
        <v>28293.465257936499</v>
      </c>
      <c r="AA375">
        <v>4722.0210151515157</v>
      </c>
    </row>
    <row r="376" spans="1:27" hidden="1">
      <c r="A376">
        <v>53</v>
      </c>
      <c r="B376">
        <v>0</v>
      </c>
      <c r="C376">
        <v>29.296875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69.657589826839839</v>
      </c>
      <c r="M376">
        <v>24.46</v>
      </c>
      <c r="N376">
        <v>48.72</v>
      </c>
      <c r="O376">
        <v>0.5</v>
      </c>
      <c r="P376">
        <v>46.28</v>
      </c>
      <c r="Q376">
        <v>33.491263871256351</v>
      </c>
      <c r="R376">
        <v>0.27</v>
      </c>
      <c r="S376">
        <v>32.119999999999997</v>
      </c>
      <c r="T376">
        <v>7.39</v>
      </c>
      <c r="U376">
        <v>5.2411468755419612</v>
      </c>
      <c r="V376">
        <v>17.948980836796061</v>
      </c>
      <c r="W376">
        <v>59.049177782921703</v>
      </c>
      <c r="X376">
        <v>10.05573556998557</v>
      </c>
      <c r="Y376">
        <v>4.8778450966377802</v>
      </c>
      <c r="Z376">
        <v>1789.006295093795</v>
      </c>
      <c r="AA376">
        <v>1131.3710804473301</v>
      </c>
    </row>
    <row r="377" spans="1:27" hidden="1">
      <c r="A377">
        <v>54</v>
      </c>
      <c r="B377">
        <v>0</v>
      </c>
      <c r="C377">
        <v>34.105849999999997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87.227904761904767</v>
      </c>
      <c r="M377">
        <v>15444.07</v>
      </c>
      <c r="N377">
        <v>3124.84</v>
      </c>
      <c r="O377">
        <v>4.9400000000000004</v>
      </c>
      <c r="P377">
        <v>443.09</v>
      </c>
      <c r="Q377">
        <v>22.141755773688342</v>
      </c>
      <c r="R377">
        <v>0.26</v>
      </c>
      <c r="S377">
        <v>26.6</v>
      </c>
      <c r="T377">
        <v>27.84</v>
      </c>
      <c r="U377">
        <v>6.0775175380175392</v>
      </c>
      <c r="V377">
        <v>16.585692895992899</v>
      </c>
      <c r="W377">
        <v>48.533615544849418</v>
      </c>
      <c r="X377">
        <v>9.0966374458874455</v>
      </c>
      <c r="Y377">
        <v>5.3104880952380942</v>
      </c>
      <c r="Z377">
        <v>26207.36621825397</v>
      </c>
      <c r="AA377">
        <v>4913.4446699134214</v>
      </c>
    </row>
    <row r="378" spans="1:27" hidden="1">
      <c r="A378">
        <v>23</v>
      </c>
      <c r="B378">
        <v>1</v>
      </c>
      <c r="C378">
        <v>40.569595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72.754504737527</v>
      </c>
      <c r="M378">
        <v>498.55</v>
      </c>
      <c r="N378">
        <v>202.15</v>
      </c>
      <c r="O378">
        <v>2.4700000000000002</v>
      </c>
      <c r="P378">
        <v>57.86</v>
      </c>
      <c r="Q378">
        <v>65.632111042420945</v>
      </c>
      <c r="R378">
        <v>0.57999999999999996</v>
      </c>
      <c r="S378">
        <v>29.52</v>
      </c>
      <c r="T378">
        <v>11.45</v>
      </c>
      <c r="U378">
        <v>11.436836134453779</v>
      </c>
      <c r="V378">
        <v>17.485658730158729</v>
      </c>
      <c r="W378">
        <v>47.678871955733733</v>
      </c>
      <c r="X378">
        <v>20.126830474443221</v>
      </c>
      <c r="Y378">
        <v>17.547512409812409</v>
      </c>
      <c r="Z378">
        <v>3112.9984150265359</v>
      </c>
      <c r="AA378">
        <v>1822.15386810582</v>
      </c>
    </row>
    <row r="379" spans="1:27" hidden="1">
      <c r="A379">
        <v>59</v>
      </c>
      <c r="B379">
        <v>0</v>
      </c>
      <c r="C379">
        <v>27.942142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63.723551010027997</v>
      </c>
      <c r="M379">
        <v>92.49</v>
      </c>
      <c r="N379">
        <v>102.77</v>
      </c>
      <c r="O379">
        <v>0.9</v>
      </c>
      <c r="P379">
        <v>47.94</v>
      </c>
      <c r="Q379">
        <v>36.259530046772809</v>
      </c>
      <c r="R379">
        <v>0.3</v>
      </c>
      <c r="S379">
        <v>31.52</v>
      </c>
      <c r="T379">
        <v>5.63</v>
      </c>
      <c r="U379">
        <v>4.6012783412984266</v>
      </c>
      <c r="V379">
        <v>16.35541162824104</v>
      </c>
      <c r="W379">
        <v>59.155754238075723</v>
      </c>
      <c r="X379">
        <v>10.446199855699859</v>
      </c>
      <c r="Y379">
        <v>5.442880450173134</v>
      </c>
      <c r="Z379">
        <v>2761.6206944721939</v>
      </c>
      <c r="AA379">
        <v>1757.724712078144</v>
      </c>
    </row>
    <row r="380" spans="1:27" hidden="1">
      <c r="A380">
        <v>32</v>
      </c>
      <c r="B380">
        <v>0</v>
      </c>
      <c r="C380">
        <v>27.513386000000001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71.389120297627883</v>
      </c>
      <c r="M380">
        <v>251.62</v>
      </c>
      <c r="N380">
        <v>187.36</v>
      </c>
      <c r="O380">
        <v>1.34</v>
      </c>
      <c r="P380">
        <v>63.79</v>
      </c>
      <c r="Q380">
        <v>49.193657291134102</v>
      </c>
      <c r="R380">
        <v>0.25</v>
      </c>
      <c r="S380">
        <v>32.630000000000003</v>
      </c>
      <c r="T380">
        <v>11.43</v>
      </c>
      <c r="U380">
        <v>7.0277124425268402</v>
      </c>
      <c r="V380">
        <v>15.180006693306691</v>
      </c>
      <c r="W380">
        <v>60.486544541339718</v>
      </c>
      <c r="X380">
        <v>14.911508991009001</v>
      </c>
      <c r="Y380">
        <v>6.844949381242067</v>
      </c>
      <c r="Z380">
        <v>4042.05269047619</v>
      </c>
      <c r="AA380">
        <v>1860.396009581196</v>
      </c>
    </row>
    <row r="381" spans="1:27" hidden="1">
      <c r="A381">
        <v>55</v>
      </c>
      <c r="B381">
        <v>0</v>
      </c>
      <c r="C381">
        <v>24.238227999999999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63.806366200878642</v>
      </c>
      <c r="M381">
        <v>309.52999999999997</v>
      </c>
      <c r="N381">
        <v>588.41999999999996</v>
      </c>
      <c r="O381">
        <v>0.53</v>
      </c>
      <c r="P381">
        <v>92.83</v>
      </c>
      <c r="Q381">
        <v>31.644922706977859</v>
      </c>
      <c r="R381">
        <v>0.43</v>
      </c>
      <c r="S381">
        <v>32.1</v>
      </c>
      <c r="T381">
        <v>12.09</v>
      </c>
      <c r="U381">
        <v>5.3685418849443236</v>
      </c>
      <c r="V381">
        <v>19.265540631590639</v>
      </c>
      <c r="W381">
        <v>60.548100817437017</v>
      </c>
      <c r="X381">
        <v>9.6536771284271268</v>
      </c>
      <c r="Y381">
        <v>4.7268389982675503</v>
      </c>
      <c r="Z381">
        <v>4419.0608888888892</v>
      </c>
      <c r="AA381">
        <v>2201.1688662705628</v>
      </c>
    </row>
    <row r="382" spans="1:27" hidden="1">
      <c r="A382">
        <v>53</v>
      </c>
      <c r="B382">
        <v>1</v>
      </c>
      <c r="C382">
        <v>27.70083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78.945151952622524</v>
      </c>
      <c r="M382">
        <v>14.09</v>
      </c>
      <c r="N382">
        <v>4.5999999999999996</v>
      </c>
      <c r="O382">
        <v>3.06</v>
      </c>
      <c r="P382">
        <v>19.350000000000001</v>
      </c>
      <c r="Q382">
        <v>61.115642873186971</v>
      </c>
      <c r="R382">
        <v>0.36</v>
      </c>
      <c r="S382">
        <v>28.3</v>
      </c>
      <c r="T382">
        <v>2.7</v>
      </c>
      <c r="U382">
        <v>6.8145558271222066</v>
      </c>
      <c r="V382">
        <v>13.185941114441119</v>
      </c>
      <c r="W382">
        <v>54.634514509791899</v>
      </c>
      <c r="X382">
        <v>10.13191955266956</v>
      </c>
      <c r="Y382">
        <v>6.1402813852813836</v>
      </c>
      <c r="Z382">
        <v>367.13328571428559</v>
      </c>
      <c r="AA382">
        <v>254.3682236235986</v>
      </c>
    </row>
    <row r="383" spans="1:27" hidden="1">
      <c r="A383">
        <v>36</v>
      </c>
      <c r="B383">
        <v>0</v>
      </c>
      <c r="C383">
        <v>29.411764000000002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88.976687229437218</v>
      </c>
      <c r="M383">
        <v>27.28</v>
      </c>
      <c r="N383">
        <v>6.13</v>
      </c>
      <c r="O383">
        <v>4.45</v>
      </c>
      <c r="P383">
        <v>19.25</v>
      </c>
      <c r="Q383">
        <v>62.345761376931733</v>
      </c>
      <c r="R383">
        <v>0.53</v>
      </c>
      <c r="S383">
        <v>29.87</v>
      </c>
      <c r="T383">
        <v>4.37</v>
      </c>
      <c r="U383">
        <v>6.8676070240106251</v>
      </c>
      <c r="V383">
        <v>10.93199090281699</v>
      </c>
      <c r="W383">
        <v>53.01727764274893</v>
      </c>
      <c r="X383">
        <v>10.33867748917749</v>
      </c>
      <c r="Y383">
        <v>5.5540530784030766</v>
      </c>
      <c r="Z383">
        <v>370.56306135531139</v>
      </c>
      <c r="AA383">
        <v>230.90992348256319</v>
      </c>
    </row>
    <row r="384" spans="1:27" hidden="1">
      <c r="A384">
        <v>34</v>
      </c>
      <c r="B384">
        <v>0</v>
      </c>
      <c r="C384">
        <v>18.666665999999999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73.699820497796125</v>
      </c>
      <c r="M384">
        <v>46.49</v>
      </c>
      <c r="N384">
        <v>225.74</v>
      </c>
      <c r="O384">
        <v>0.21</v>
      </c>
      <c r="P384">
        <v>54.6</v>
      </c>
      <c r="Q384">
        <v>24.816902503097541</v>
      </c>
      <c r="R384">
        <v>0.32</v>
      </c>
      <c r="S384">
        <v>29.17</v>
      </c>
      <c r="T384">
        <v>13.33</v>
      </c>
      <c r="U384">
        <v>6.5456761790840732</v>
      </c>
      <c r="V384">
        <v>13.275881833079209</v>
      </c>
      <c r="W384">
        <v>53.960054326561163</v>
      </c>
      <c r="X384">
        <v>12.456354617604619</v>
      </c>
      <c r="Y384">
        <v>3.714455128205127</v>
      </c>
      <c r="Z384">
        <v>2812.1994900626119</v>
      </c>
      <c r="AA384">
        <v>1198.1519004329009</v>
      </c>
    </row>
    <row r="385" spans="1:27" hidden="1">
      <c r="A385">
        <v>45</v>
      </c>
      <c r="B385">
        <v>0</v>
      </c>
      <c r="C385">
        <v>21.644120999999998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68.81552707547516</v>
      </c>
      <c r="M385">
        <v>26.62</v>
      </c>
      <c r="N385">
        <v>102.88</v>
      </c>
      <c r="O385">
        <v>0.26</v>
      </c>
      <c r="P385">
        <v>39.46</v>
      </c>
      <c r="Q385">
        <v>27.460099766510691</v>
      </c>
      <c r="R385">
        <v>0.34</v>
      </c>
      <c r="S385">
        <v>30.92</v>
      </c>
      <c r="T385">
        <v>6.44</v>
      </c>
      <c r="U385">
        <v>6.3580848917164694</v>
      </c>
      <c r="V385">
        <v>13.645579805474441</v>
      </c>
      <c r="W385">
        <v>56.14036982413274</v>
      </c>
      <c r="X385">
        <v>9.9594577922077931</v>
      </c>
      <c r="Y385">
        <v>5.1541708125884949</v>
      </c>
      <c r="Z385">
        <v>1546.64551984127</v>
      </c>
      <c r="AA385">
        <v>1069.567085109335</v>
      </c>
    </row>
    <row r="386" spans="1:27" hidden="1">
      <c r="A386">
        <v>22</v>
      </c>
      <c r="B386">
        <v>1</v>
      </c>
      <c r="C386">
        <v>21.604105000000001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81.719782688637522</v>
      </c>
      <c r="M386">
        <v>92.69</v>
      </c>
      <c r="N386">
        <v>62.04</v>
      </c>
      <c r="O386">
        <v>1.49</v>
      </c>
      <c r="P386">
        <v>39.25</v>
      </c>
      <c r="Q386">
        <v>44.464461720988083</v>
      </c>
      <c r="R386">
        <v>0.21</v>
      </c>
      <c r="S386">
        <v>29.61</v>
      </c>
      <c r="T386">
        <v>7.65</v>
      </c>
      <c r="U386">
        <v>5.7642025138604076</v>
      </c>
      <c r="V386">
        <v>12.74173887700146</v>
      </c>
      <c r="W386">
        <v>54.038894796939339</v>
      </c>
      <c r="X386">
        <v>11.86820382395382</v>
      </c>
      <c r="Y386">
        <v>3.4263412159735691</v>
      </c>
      <c r="Z386">
        <v>1725.490718253968</v>
      </c>
      <c r="AA386">
        <v>1103.526617049617</v>
      </c>
    </row>
    <row r="387" spans="1:27" hidden="1">
      <c r="A387">
        <v>41</v>
      </c>
      <c r="B387">
        <v>0</v>
      </c>
      <c r="C387">
        <v>21.928864000000001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73.223123713916578</v>
      </c>
      <c r="M387">
        <v>67.61</v>
      </c>
      <c r="N387">
        <v>181.49</v>
      </c>
      <c r="O387">
        <v>0.37</v>
      </c>
      <c r="P387">
        <v>52.58</v>
      </c>
      <c r="Q387">
        <v>26.330423331847381</v>
      </c>
      <c r="R387">
        <v>0.26</v>
      </c>
      <c r="S387">
        <v>29.27</v>
      </c>
      <c r="T387">
        <v>6.91</v>
      </c>
      <c r="U387">
        <v>6.981637691256112</v>
      </c>
      <c r="V387">
        <v>15.455031966279339</v>
      </c>
      <c r="W387">
        <v>51.618579288158699</v>
      </c>
      <c r="X387">
        <v>11.17498953823954</v>
      </c>
      <c r="Y387">
        <v>4.5235301599404876</v>
      </c>
      <c r="Z387">
        <v>2671.698966231867</v>
      </c>
      <c r="AA387">
        <v>1128.0155205627709</v>
      </c>
    </row>
    <row r="388" spans="1:27" hidden="1">
      <c r="A388">
        <v>53</v>
      </c>
      <c r="B388">
        <v>0</v>
      </c>
      <c r="C388">
        <v>24.243919999999999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62.692490137700908</v>
      </c>
      <c r="M388">
        <v>79.44</v>
      </c>
      <c r="N388">
        <v>147.4</v>
      </c>
      <c r="O388">
        <v>0.54</v>
      </c>
      <c r="P388">
        <v>55.7</v>
      </c>
      <c r="Q388">
        <v>29.13461035528222</v>
      </c>
      <c r="R388">
        <v>0.25</v>
      </c>
      <c r="S388">
        <v>26.84</v>
      </c>
      <c r="T388">
        <v>8.82</v>
      </c>
      <c r="U388">
        <v>5.3325774780774786</v>
      </c>
      <c r="V388">
        <v>16.486447197247202</v>
      </c>
      <c r="W388">
        <v>52.044218138303307</v>
      </c>
      <c r="X388">
        <v>10.15134126984127</v>
      </c>
      <c r="Y388">
        <v>3.9749923132423128</v>
      </c>
      <c r="Z388">
        <v>3200.958740822085</v>
      </c>
      <c r="AA388">
        <v>1769.7188655244211</v>
      </c>
    </row>
    <row r="389" spans="1:27" hidden="1">
      <c r="A389">
        <v>34</v>
      </c>
      <c r="B389">
        <v>1</v>
      </c>
      <c r="C389">
        <v>23.781213999999999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93.424783613445413</v>
      </c>
      <c r="M389">
        <v>14.09</v>
      </c>
      <c r="N389">
        <v>4.5999999999999996</v>
      </c>
      <c r="O389">
        <v>3.06</v>
      </c>
      <c r="P389">
        <v>19.350000000000001</v>
      </c>
      <c r="Q389">
        <v>61.766671950527027</v>
      </c>
      <c r="R389">
        <v>0.36</v>
      </c>
      <c r="S389">
        <v>28.3</v>
      </c>
      <c r="T389">
        <v>2.7</v>
      </c>
      <c r="U389">
        <v>7.471268013628511</v>
      </c>
      <c r="V389">
        <v>14.91657134532135</v>
      </c>
      <c r="W389">
        <v>55.167507294784677</v>
      </c>
      <c r="X389">
        <v>14.70105853649275</v>
      </c>
      <c r="Y389">
        <v>8.4719172077922078</v>
      </c>
      <c r="Z389">
        <v>370.50951190476178</v>
      </c>
      <c r="AA389">
        <v>236.17972151459651</v>
      </c>
    </row>
    <row r="390" spans="1:27">
      <c r="A390">
        <v>37</v>
      </c>
      <c r="B390">
        <v>0</v>
      </c>
      <c r="C390">
        <v>20.82094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66.917765600894256</v>
      </c>
      <c r="M390">
        <v>291.05</v>
      </c>
      <c r="N390">
        <v>365.16</v>
      </c>
      <c r="O390">
        <v>0.8</v>
      </c>
      <c r="P390">
        <v>95.03</v>
      </c>
      <c r="Q390">
        <v>37.037488655211597</v>
      </c>
      <c r="R390">
        <v>0.75</v>
      </c>
      <c r="S390">
        <v>32.049999999999997</v>
      </c>
      <c r="T390">
        <v>9.9</v>
      </c>
      <c r="U390">
        <v>11.984174542777479</v>
      </c>
      <c r="V390">
        <v>27.942896825396829</v>
      </c>
      <c r="W390">
        <v>67.987729655578306</v>
      </c>
      <c r="X390">
        <v>23.051653843576439</v>
      </c>
      <c r="Y390">
        <v>18.82199927849928</v>
      </c>
      <c r="Z390">
        <v>4453.0292103174606</v>
      </c>
      <c r="AA390">
        <v>2330.9031850793649</v>
      </c>
    </row>
    <row r="391" spans="1:27" hidden="1">
      <c r="A391">
        <v>26</v>
      </c>
      <c r="B391">
        <v>0</v>
      </c>
      <c r="C391">
        <v>22.265625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85.274770590201882</v>
      </c>
      <c r="M391">
        <v>29.02</v>
      </c>
      <c r="N391">
        <v>67.58</v>
      </c>
      <c r="O391">
        <v>0.43</v>
      </c>
      <c r="P391">
        <v>31.01</v>
      </c>
      <c r="Q391">
        <v>35.805205691947187</v>
      </c>
      <c r="R391">
        <v>0.51</v>
      </c>
      <c r="S391">
        <v>31.09</v>
      </c>
      <c r="T391">
        <v>7.46</v>
      </c>
      <c r="U391">
        <v>5.5633792997937732</v>
      </c>
      <c r="V391">
        <v>11.08067954281476</v>
      </c>
      <c r="W391">
        <v>49.583145397464641</v>
      </c>
      <c r="X391">
        <v>9.4826287075497628</v>
      </c>
      <c r="Y391">
        <v>4.3314940513867342</v>
      </c>
      <c r="Z391">
        <v>951.98359174451286</v>
      </c>
      <c r="AA391">
        <v>551.07505679241763</v>
      </c>
    </row>
    <row r="392" spans="1:27" hidden="1">
      <c r="A392">
        <v>46</v>
      </c>
      <c r="B392">
        <v>0</v>
      </c>
      <c r="C392">
        <v>24.801587999999999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76.382817099567106</v>
      </c>
      <c r="M392">
        <v>11.69</v>
      </c>
      <c r="N392">
        <v>19.149999999999999</v>
      </c>
      <c r="O392">
        <v>0.61</v>
      </c>
      <c r="P392">
        <v>24.89</v>
      </c>
      <c r="Q392">
        <v>52.86790618849804</v>
      </c>
      <c r="R392">
        <v>0.16</v>
      </c>
      <c r="S392">
        <v>31.05</v>
      </c>
      <c r="T392">
        <v>3.85</v>
      </c>
      <c r="U392">
        <v>6.4880997264976852</v>
      </c>
      <c r="V392">
        <v>12.53374520577462</v>
      </c>
      <c r="W392">
        <v>58.553937606590019</v>
      </c>
      <c r="X392">
        <v>10.52043795093795</v>
      </c>
      <c r="Y392">
        <v>5.5707566600066603</v>
      </c>
      <c r="Z392">
        <v>803.05242915160227</v>
      </c>
      <c r="AA392">
        <v>440.70703441003451</v>
      </c>
    </row>
    <row r="393" spans="1:27" hidden="1">
      <c r="A393">
        <v>24</v>
      </c>
      <c r="B393">
        <v>1</v>
      </c>
      <c r="C393">
        <v>19.817677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67.930696350899922</v>
      </c>
      <c r="M393">
        <v>254.41</v>
      </c>
      <c r="N393">
        <v>387.93</v>
      </c>
      <c r="O393">
        <v>0.66</v>
      </c>
      <c r="P393">
        <v>83.05</v>
      </c>
      <c r="Q393">
        <v>32.095578643072329</v>
      </c>
      <c r="R393">
        <v>0.34</v>
      </c>
      <c r="S393">
        <v>32.369999999999997</v>
      </c>
      <c r="T393">
        <v>11.34</v>
      </c>
      <c r="U393">
        <v>5.1970689033189021</v>
      </c>
      <c r="V393">
        <v>14.54674142524143</v>
      </c>
      <c r="W393">
        <v>61.927027962816993</v>
      </c>
      <c r="X393">
        <v>11.5389549062049</v>
      </c>
      <c r="Y393">
        <v>3.353842300243616</v>
      </c>
      <c r="Z393">
        <v>4660.8776865079371</v>
      </c>
      <c r="AA393">
        <v>2269.7038673023089</v>
      </c>
    </row>
    <row r="394" spans="1:27" hidden="1">
      <c r="A394">
        <v>25</v>
      </c>
      <c r="B394">
        <v>0</v>
      </c>
      <c r="C394">
        <v>24.341759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68.939287745048858</v>
      </c>
      <c r="M394">
        <v>707.01</v>
      </c>
      <c r="N394">
        <v>488.02</v>
      </c>
      <c r="O394">
        <v>1.45</v>
      </c>
      <c r="P394">
        <v>107.09</v>
      </c>
      <c r="Q394">
        <v>56.132760358676869</v>
      </c>
      <c r="R394">
        <v>0.61</v>
      </c>
      <c r="S394">
        <v>31.12</v>
      </c>
      <c r="T394">
        <v>14.13</v>
      </c>
      <c r="U394">
        <v>4.7704327863399074</v>
      </c>
      <c r="V394">
        <v>15.16618523867743</v>
      </c>
      <c r="W394">
        <v>55.205455986631442</v>
      </c>
      <c r="X394">
        <v>10.8580357975358</v>
      </c>
      <c r="Y394">
        <v>4.1774133015809847</v>
      </c>
      <c r="Z394">
        <v>4698.5162103174634</v>
      </c>
      <c r="AA394">
        <v>2456.2270076673881</v>
      </c>
    </row>
    <row r="395" spans="1:27">
      <c r="A395">
        <v>62</v>
      </c>
      <c r="B395">
        <v>1</v>
      </c>
      <c r="C395">
        <v>29.761906</v>
      </c>
      <c r="D395">
        <v>0</v>
      </c>
      <c r="E395">
        <v>0</v>
      </c>
      <c r="F395">
        <v>1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68.371169793169798</v>
      </c>
      <c r="M395">
        <v>33.020000000000003</v>
      </c>
      <c r="N395">
        <v>33.56</v>
      </c>
      <c r="O395">
        <v>0.98</v>
      </c>
      <c r="P395">
        <v>30.36</v>
      </c>
      <c r="Q395">
        <v>47.162953826194659</v>
      </c>
      <c r="R395">
        <v>0.3</v>
      </c>
      <c r="S395">
        <v>29.24</v>
      </c>
      <c r="T395">
        <v>2.14</v>
      </c>
      <c r="U395">
        <v>10.786693278943281</v>
      </c>
      <c r="V395">
        <v>31.33954641017289</v>
      </c>
      <c r="W395">
        <v>64.015432539682536</v>
      </c>
      <c r="X395">
        <v>24.305725974418809</v>
      </c>
      <c r="Y395">
        <v>21.100158730158729</v>
      </c>
      <c r="Z395">
        <v>1077.107441017316</v>
      </c>
      <c r="AA395">
        <v>568.14695755424736</v>
      </c>
    </row>
    <row r="396" spans="1:27" hidden="1">
      <c r="A396">
        <v>40</v>
      </c>
      <c r="B396">
        <v>0</v>
      </c>
      <c r="C396">
        <v>19.11111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66.463084248268089</v>
      </c>
      <c r="M396">
        <v>600.62</v>
      </c>
      <c r="N396">
        <v>725.49</v>
      </c>
      <c r="O396">
        <v>0.83</v>
      </c>
      <c r="P396">
        <v>106.41</v>
      </c>
      <c r="Q396">
        <v>39.889022633923908</v>
      </c>
      <c r="R396">
        <v>0.28999999999999998</v>
      </c>
      <c r="S396">
        <v>29.48</v>
      </c>
      <c r="T396">
        <v>14.96</v>
      </c>
      <c r="U396">
        <v>5.6677932430633291</v>
      </c>
      <c r="V396">
        <v>14.39393819338556</v>
      </c>
      <c r="W396">
        <v>55.097420063226529</v>
      </c>
      <c r="X396">
        <v>11.759929292929289</v>
      </c>
      <c r="Y396">
        <v>5.311371512251152</v>
      </c>
      <c r="Z396">
        <v>4974.6855793650793</v>
      </c>
      <c r="AA396">
        <v>2197.4384690800871</v>
      </c>
    </row>
    <row r="397" spans="1:27" hidden="1">
      <c r="A397">
        <v>47</v>
      </c>
      <c r="B397">
        <v>1</v>
      </c>
      <c r="C397">
        <v>29.387754000000001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64.13687132773876</v>
      </c>
      <c r="M397">
        <v>96.33</v>
      </c>
      <c r="N397">
        <v>136.12</v>
      </c>
      <c r="O397">
        <v>0.71</v>
      </c>
      <c r="P397">
        <v>58.31</v>
      </c>
      <c r="Q397">
        <v>35.5719276640354</v>
      </c>
      <c r="R397">
        <v>1.97</v>
      </c>
      <c r="S397">
        <v>31.39</v>
      </c>
      <c r="T397">
        <v>11.19</v>
      </c>
      <c r="U397">
        <v>2.2292428043681238</v>
      </c>
      <c r="V397">
        <v>9.2711415967545001</v>
      </c>
      <c r="W397">
        <v>45.336552891495401</v>
      </c>
      <c r="X397">
        <v>2.3101194000822529</v>
      </c>
      <c r="Y397">
        <v>1.3163833210149889</v>
      </c>
      <c r="Z397">
        <v>2857.5050829346092</v>
      </c>
      <c r="AA397">
        <v>1797.2070537942609</v>
      </c>
    </row>
    <row r="398" spans="1:27" hidden="1">
      <c r="A398">
        <v>26</v>
      </c>
      <c r="B398">
        <v>1</v>
      </c>
      <c r="C398">
        <v>29.320988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76.038704698079712</v>
      </c>
      <c r="M398">
        <v>190.75</v>
      </c>
      <c r="N398">
        <v>50.8</v>
      </c>
      <c r="O398">
        <v>3.75</v>
      </c>
      <c r="P398">
        <v>64.12</v>
      </c>
      <c r="Q398">
        <v>70.229619526996018</v>
      </c>
      <c r="R398">
        <v>0.62</v>
      </c>
      <c r="S398">
        <v>30.77</v>
      </c>
      <c r="T398">
        <v>15.76</v>
      </c>
      <c r="U398">
        <v>4.1872786292654709</v>
      </c>
      <c r="V398">
        <v>14.192820900968361</v>
      </c>
      <c r="W398">
        <v>48.954705197392002</v>
      </c>
      <c r="X398">
        <v>10.48156998556998</v>
      </c>
      <c r="Y398">
        <v>3.385806636832954</v>
      </c>
      <c r="Z398">
        <v>3628.3455357142871</v>
      </c>
      <c r="AA398">
        <v>2018.508471929182</v>
      </c>
    </row>
    <row r="399" spans="1:27" hidden="1">
      <c r="A399">
        <v>33</v>
      </c>
      <c r="B399">
        <v>0</v>
      </c>
      <c r="C399">
        <v>28.125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68.676653919723861</v>
      </c>
      <c r="M399">
        <v>2263.23</v>
      </c>
      <c r="N399">
        <v>1179.5</v>
      </c>
      <c r="O399">
        <v>1.92</v>
      </c>
      <c r="P399">
        <v>130.47</v>
      </c>
      <c r="Q399">
        <v>34.686395402829881</v>
      </c>
      <c r="R399">
        <v>0.2</v>
      </c>
      <c r="S399">
        <v>32.770000000000003</v>
      </c>
      <c r="T399">
        <v>10.06</v>
      </c>
      <c r="U399">
        <v>7.3771706349206347</v>
      </c>
      <c r="V399">
        <v>16.772542546342549</v>
      </c>
      <c r="W399">
        <v>59.086841910637098</v>
      </c>
      <c r="X399">
        <v>14.445536768786781</v>
      </c>
      <c r="Y399">
        <v>6.7348469281396124</v>
      </c>
      <c r="Z399">
        <v>5680.1152341269844</v>
      </c>
      <c r="AA399">
        <v>2308.6207054292918</v>
      </c>
    </row>
    <row r="400" spans="1:27" hidden="1">
      <c r="A400">
        <v>30</v>
      </c>
      <c r="B400">
        <v>1</v>
      </c>
      <c r="C400">
        <v>23.095410000000001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85.725165950750309</v>
      </c>
      <c r="M400">
        <v>59.28</v>
      </c>
      <c r="N400">
        <v>36.590000000000003</v>
      </c>
      <c r="O400">
        <v>1.62</v>
      </c>
      <c r="P400">
        <v>33.83</v>
      </c>
      <c r="Q400">
        <v>66.393219394407382</v>
      </c>
      <c r="R400">
        <v>0.72</v>
      </c>
      <c r="S400">
        <v>32.18</v>
      </c>
      <c r="T400">
        <v>5.5</v>
      </c>
      <c r="U400">
        <v>4.7393524056353007</v>
      </c>
      <c r="V400">
        <v>12.04739040903168</v>
      </c>
      <c r="W400">
        <v>58.627788398652463</v>
      </c>
      <c r="X400">
        <v>6.853288471917506</v>
      </c>
      <c r="Y400">
        <v>3.7901558877917569</v>
      </c>
      <c r="Z400">
        <v>1212.329448412698</v>
      </c>
      <c r="AA400">
        <v>744.70344895382402</v>
      </c>
    </row>
    <row r="401" spans="1:27" hidden="1">
      <c r="A401">
        <v>43</v>
      </c>
      <c r="B401">
        <v>1</v>
      </c>
      <c r="C401">
        <v>25.593737000000001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67.385529664440895</v>
      </c>
      <c r="M401">
        <v>259.45</v>
      </c>
      <c r="N401">
        <v>327.23</v>
      </c>
      <c r="O401">
        <v>0.79</v>
      </c>
      <c r="P401">
        <v>72.59</v>
      </c>
      <c r="Q401">
        <v>39.524133810129563</v>
      </c>
      <c r="R401">
        <v>0.41</v>
      </c>
      <c r="S401">
        <v>32.409999999999997</v>
      </c>
      <c r="T401">
        <v>11.7</v>
      </c>
      <c r="U401">
        <v>4.9612712650413506</v>
      </c>
      <c r="V401">
        <v>16.806052536352539</v>
      </c>
      <c r="W401">
        <v>59.668560334370213</v>
      </c>
      <c r="X401">
        <v>9.6764390331890322</v>
      </c>
      <c r="Y401">
        <v>4.8748638067923604</v>
      </c>
      <c r="Z401">
        <v>4151.7597301587321</v>
      </c>
      <c r="AA401">
        <v>1986.1221705634921</v>
      </c>
    </row>
    <row r="402" spans="1:27" hidden="1">
      <c r="A402">
        <v>37</v>
      </c>
      <c r="B402">
        <v>0</v>
      </c>
      <c r="C402">
        <v>19.227688000000001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75.481725995791805</v>
      </c>
      <c r="M402">
        <v>51.76</v>
      </c>
      <c r="N402">
        <v>119.4</v>
      </c>
      <c r="O402">
        <v>0.43</v>
      </c>
      <c r="P402">
        <v>53.63</v>
      </c>
      <c r="Q402">
        <v>29.963481846548952</v>
      </c>
      <c r="R402">
        <v>0.47</v>
      </c>
      <c r="S402">
        <v>29.84</v>
      </c>
      <c r="T402">
        <v>7.14</v>
      </c>
      <c r="U402">
        <v>6.1449086874382921</v>
      </c>
      <c r="V402">
        <v>12.34772438424784</v>
      </c>
      <c r="W402">
        <v>49.229949747198347</v>
      </c>
      <c r="X402">
        <v>9.9167098794924868</v>
      </c>
      <c r="Y402">
        <v>3.2076642331581962</v>
      </c>
      <c r="Z402">
        <v>2521.695423302574</v>
      </c>
      <c r="AA402">
        <v>1467.058744755245</v>
      </c>
    </row>
    <row r="403" spans="1:27" hidden="1">
      <c r="A403">
        <v>54</v>
      </c>
      <c r="B403">
        <v>1</v>
      </c>
      <c r="C403">
        <v>24.21875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68.899165223665221</v>
      </c>
      <c r="M403">
        <v>438.88</v>
      </c>
      <c r="N403">
        <v>34.39</v>
      </c>
      <c r="O403">
        <v>12.76</v>
      </c>
      <c r="P403">
        <v>58.06</v>
      </c>
      <c r="Q403">
        <v>83.273759532688544</v>
      </c>
      <c r="R403">
        <v>0.56999999999999995</v>
      </c>
      <c r="S403">
        <v>27.31</v>
      </c>
      <c r="T403">
        <v>10.94</v>
      </c>
      <c r="U403">
        <v>5.2142061255737726</v>
      </c>
      <c r="V403">
        <v>20.050389332889338</v>
      </c>
      <c r="W403">
        <v>47.894445901664852</v>
      </c>
      <c r="X403">
        <v>7.8831945276945294</v>
      </c>
      <c r="Y403">
        <v>2.835232142857143</v>
      </c>
      <c r="Z403">
        <v>3066.14403445166</v>
      </c>
      <c r="AA403">
        <v>1729.050925897435</v>
      </c>
    </row>
    <row r="404" spans="1:27" hidden="1">
      <c r="A404">
        <v>53</v>
      </c>
      <c r="B404">
        <v>1</v>
      </c>
      <c r="C404">
        <v>26.989619999999999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77.858334330701979</v>
      </c>
      <c r="M404">
        <v>36.57</v>
      </c>
      <c r="N404">
        <v>8.6999999999999993</v>
      </c>
      <c r="O404">
        <v>4.2</v>
      </c>
      <c r="P404">
        <v>24.43</v>
      </c>
      <c r="Q404">
        <v>54.562270254121479</v>
      </c>
      <c r="R404">
        <v>0.26</v>
      </c>
      <c r="S404">
        <v>32.82</v>
      </c>
      <c r="T404">
        <v>3.22</v>
      </c>
      <c r="U404">
        <v>5.2177013067341997</v>
      </c>
      <c r="V404">
        <v>12.223364635364639</v>
      </c>
      <c r="W404">
        <v>63.365264634092227</v>
      </c>
      <c r="X404">
        <v>9.6693282828282854</v>
      </c>
      <c r="Y404">
        <v>5.0097808302808291</v>
      </c>
      <c r="Z404">
        <v>756.07269663155103</v>
      </c>
      <c r="AA404">
        <v>442.86166139416162</v>
      </c>
    </row>
    <row r="405" spans="1:27" hidden="1">
      <c r="A405">
        <v>38</v>
      </c>
      <c r="B405">
        <v>0</v>
      </c>
      <c r="C405">
        <v>29.384675999999999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84.426883061064359</v>
      </c>
      <c r="M405">
        <v>28.47</v>
      </c>
      <c r="N405">
        <v>60.74</v>
      </c>
      <c r="O405">
        <v>0.47</v>
      </c>
      <c r="P405">
        <v>31.49</v>
      </c>
      <c r="Q405">
        <v>38.234982891997518</v>
      </c>
      <c r="R405">
        <v>0.46</v>
      </c>
      <c r="S405">
        <v>32.409999999999997</v>
      </c>
      <c r="T405">
        <v>7.04</v>
      </c>
      <c r="U405">
        <v>5.2257156188110141</v>
      </c>
      <c r="V405">
        <v>13.05734911579648</v>
      </c>
      <c r="W405">
        <v>56.438858535469578</v>
      </c>
      <c r="X405">
        <v>8.3243282085318704</v>
      </c>
      <c r="Y405">
        <v>2.9683093413180108</v>
      </c>
      <c r="Z405">
        <v>941.02799794941893</v>
      </c>
      <c r="AA405">
        <v>560.59935962354575</v>
      </c>
    </row>
    <row r="406" spans="1:27" hidden="1">
      <c r="A406">
        <v>60</v>
      </c>
      <c r="B406">
        <v>1</v>
      </c>
      <c r="C406">
        <v>19.617908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80.48851371635611</v>
      </c>
      <c r="M406">
        <v>9.3000000000000007</v>
      </c>
      <c r="N406">
        <v>16.329999999999998</v>
      </c>
      <c r="O406">
        <v>0.56999999999999995</v>
      </c>
      <c r="P406">
        <v>20.96</v>
      </c>
      <c r="Q406">
        <v>51.218949685960453</v>
      </c>
      <c r="R406">
        <v>0.28000000000000003</v>
      </c>
      <c r="S406">
        <v>32.119999999999997</v>
      </c>
      <c r="T406">
        <v>2.61</v>
      </c>
      <c r="U406">
        <v>7.0834923311982161</v>
      </c>
      <c r="V406">
        <v>24.44587310686801</v>
      </c>
      <c r="W406">
        <v>67.131448412698433</v>
      </c>
      <c r="X406">
        <v>14.551465079949301</v>
      </c>
      <c r="Y406">
        <v>11.621285714285721</v>
      </c>
      <c r="Z406">
        <v>645.28328665615447</v>
      </c>
      <c r="AA406">
        <v>254.84111503774</v>
      </c>
    </row>
    <row r="407" spans="1:27" hidden="1">
      <c r="A407">
        <v>67</v>
      </c>
      <c r="B407">
        <v>1</v>
      </c>
      <c r="C407">
        <v>23.588329999999999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64.66080653600649</v>
      </c>
      <c r="M407">
        <v>536.6</v>
      </c>
      <c r="N407">
        <v>847.96</v>
      </c>
      <c r="O407">
        <v>0.63</v>
      </c>
      <c r="P407">
        <v>127.93</v>
      </c>
      <c r="Q407">
        <v>35.075364817707928</v>
      </c>
      <c r="R407">
        <v>0.28999999999999998</v>
      </c>
      <c r="S407">
        <v>31.77</v>
      </c>
      <c r="T407">
        <v>11.54</v>
      </c>
      <c r="U407">
        <v>3.169633753501401</v>
      </c>
      <c r="V407">
        <v>9.5196577311577268</v>
      </c>
      <c r="W407">
        <v>66.487006132756136</v>
      </c>
      <c r="X407">
        <v>9.2277485569985558</v>
      </c>
      <c r="Y407">
        <v>1.195502671835333</v>
      </c>
      <c r="Z407">
        <v>5184.62340079365</v>
      </c>
      <c r="AA407">
        <v>2224.7514386118328</v>
      </c>
    </row>
    <row r="408" spans="1:27" hidden="1">
      <c r="A408">
        <v>51</v>
      </c>
      <c r="B408">
        <v>1</v>
      </c>
      <c r="C408">
        <v>26.277284999999999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71.177770007770008</v>
      </c>
      <c r="M408">
        <v>2867.46</v>
      </c>
      <c r="N408">
        <v>1335.53</v>
      </c>
      <c r="O408">
        <v>2.15</v>
      </c>
      <c r="P408">
        <v>140.56</v>
      </c>
      <c r="Q408">
        <v>26.95721000451832</v>
      </c>
      <c r="R408">
        <v>0.51</v>
      </c>
      <c r="S408">
        <v>30.83</v>
      </c>
      <c r="T408">
        <v>9.7200000000000006</v>
      </c>
      <c r="U408">
        <v>4.7322945223635999</v>
      </c>
      <c r="V408">
        <v>12.061533577533581</v>
      </c>
      <c r="W408">
        <v>50.240469170722491</v>
      </c>
      <c r="X408">
        <v>7.3589693451730067</v>
      </c>
      <c r="Y408">
        <v>1.642783974123442</v>
      </c>
      <c r="Z408">
        <v>6829.6855912698402</v>
      </c>
      <c r="AA408">
        <v>2340.2471028896098</v>
      </c>
    </row>
    <row r="409" spans="1:27" hidden="1">
      <c r="A409">
        <v>50</v>
      </c>
      <c r="B409">
        <v>1</v>
      </c>
      <c r="C409">
        <v>26.173832000000001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89.608358225108205</v>
      </c>
      <c r="M409">
        <v>10470.42</v>
      </c>
      <c r="N409">
        <v>5168.99</v>
      </c>
      <c r="O409">
        <v>2.0299999999999998</v>
      </c>
      <c r="P409">
        <v>369.31</v>
      </c>
      <c r="Q409">
        <v>21.76418002876509</v>
      </c>
      <c r="R409">
        <v>0.25</v>
      </c>
      <c r="S409">
        <v>28.11</v>
      </c>
      <c r="T409">
        <v>28.3</v>
      </c>
      <c r="U409">
        <v>5.025663641913642</v>
      </c>
      <c r="V409">
        <v>13.480501887001889</v>
      </c>
      <c r="W409">
        <v>48.722973409207277</v>
      </c>
      <c r="X409">
        <v>8.5961136363636363</v>
      </c>
      <c r="Y409">
        <v>3.0057950782877261</v>
      </c>
      <c r="Z409">
        <v>28308.90090873016</v>
      </c>
      <c r="AA409">
        <v>4842.5161601991349</v>
      </c>
    </row>
    <row r="410" spans="1:27" hidden="1">
      <c r="A410">
        <v>40</v>
      </c>
      <c r="B410">
        <v>0</v>
      </c>
      <c r="C410">
        <v>27.268004999999999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73.690191993669401</v>
      </c>
      <c r="M410">
        <v>694.57</v>
      </c>
      <c r="N410">
        <v>133.74</v>
      </c>
      <c r="O410">
        <v>5.19</v>
      </c>
      <c r="P410">
        <v>83.24</v>
      </c>
      <c r="Q410">
        <v>74.607963631995275</v>
      </c>
      <c r="R410">
        <v>0.37</v>
      </c>
      <c r="S410">
        <v>32.56</v>
      </c>
      <c r="T410">
        <v>8.83</v>
      </c>
      <c r="U410">
        <v>5.7211244376968056</v>
      </c>
      <c r="V410">
        <v>16.782791464091471</v>
      </c>
      <c r="W410">
        <v>60.616180544225728</v>
      </c>
      <c r="X410">
        <v>10.2139411976912</v>
      </c>
      <c r="Y410">
        <v>5.0160506133432969</v>
      </c>
      <c r="Z410">
        <v>4750.9065793650807</v>
      </c>
      <c r="AA410">
        <v>2635.8896836454101</v>
      </c>
    </row>
    <row r="411" spans="1:27" hidden="1">
      <c r="A411">
        <v>28</v>
      </c>
      <c r="B411">
        <v>0</v>
      </c>
      <c r="C411">
        <v>22.370943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71.201983273463881</v>
      </c>
      <c r="M411">
        <v>166.31</v>
      </c>
      <c r="N411">
        <v>220.38</v>
      </c>
      <c r="O411">
        <v>0.75</v>
      </c>
      <c r="P411">
        <v>49.73</v>
      </c>
      <c r="Q411">
        <v>38.241864762535222</v>
      </c>
      <c r="R411">
        <v>0.5</v>
      </c>
      <c r="S411">
        <v>34.549999999999997</v>
      </c>
      <c r="T411">
        <v>11.86</v>
      </c>
      <c r="U411">
        <v>4.7630630741807209</v>
      </c>
      <c r="V411">
        <v>13.69208837992073</v>
      </c>
      <c r="W411">
        <v>59.522480545840772</v>
      </c>
      <c r="X411">
        <v>10.28562057387057</v>
      </c>
      <c r="Y411">
        <v>2.6902610640482498</v>
      </c>
      <c r="Z411">
        <v>2446.1648490537241</v>
      </c>
      <c r="AA411">
        <v>1350.08053932179</v>
      </c>
    </row>
    <row r="412" spans="1:27" hidden="1">
      <c r="A412">
        <v>65</v>
      </c>
      <c r="B412">
        <v>1</v>
      </c>
      <c r="C412">
        <v>26.695419999999999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61.680208679758707</v>
      </c>
      <c r="M412">
        <v>179.12</v>
      </c>
      <c r="N412">
        <v>448.73</v>
      </c>
      <c r="O412">
        <v>0.4</v>
      </c>
      <c r="P412">
        <v>92.54</v>
      </c>
      <c r="Q412">
        <v>25.69839041714248</v>
      </c>
      <c r="R412">
        <v>0.2</v>
      </c>
      <c r="S412">
        <v>30.11</v>
      </c>
      <c r="T412">
        <v>15.03</v>
      </c>
      <c r="U412">
        <v>4.7765171261487049</v>
      </c>
      <c r="V412">
        <v>16.000312853812861</v>
      </c>
      <c r="W412">
        <v>64.649619198901462</v>
      </c>
      <c r="X412">
        <v>9.4209509379509377</v>
      </c>
      <c r="Y412">
        <v>2.197778110212746</v>
      </c>
      <c r="Z412">
        <v>4833.8215317460317</v>
      </c>
      <c r="AA412">
        <v>2211.460504040404</v>
      </c>
    </row>
    <row r="413" spans="1:27" hidden="1">
      <c r="A413">
        <v>40</v>
      </c>
      <c r="B413">
        <v>0</v>
      </c>
      <c r="C413">
        <v>21.513859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84.644572989768889</v>
      </c>
      <c r="M413">
        <v>47.39</v>
      </c>
      <c r="N413">
        <v>43.42</v>
      </c>
      <c r="O413">
        <v>1.0900000000000001</v>
      </c>
      <c r="P413">
        <v>35.270000000000003</v>
      </c>
      <c r="Q413">
        <v>50.175598554556679</v>
      </c>
      <c r="R413">
        <v>0.55000000000000004</v>
      </c>
      <c r="S413">
        <v>30.46</v>
      </c>
      <c r="T413">
        <v>4.24</v>
      </c>
      <c r="U413">
        <v>5.7470195787399749</v>
      </c>
      <c r="V413">
        <v>11.616633142915621</v>
      </c>
      <c r="W413">
        <v>54.132116996568513</v>
      </c>
      <c r="X413">
        <v>9.4930246975246995</v>
      </c>
      <c r="Y413">
        <v>3.7055024603969979</v>
      </c>
      <c r="Z413">
        <v>1338.933038600288</v>
      </c>
      <c r="AA413">
        <v>740.00427290764787</v>
      </c>
    </row>
    <row r="414" spans="1:27" hidden="1">
      <c r="A414">
        <v>39</v>
      </c>
      <c r="B414">
        <v>0</v>
      </c>
      <c r="C414">
        <v>24.977042999999998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82.862867748292942</v>
      </c>
      <c r="M414">
        <v>1299.8800000000001</v>
      </c>
      <c r="N414">
        <v>1938.66</v>
      </c>
      <c r="O414">
        <v>0.67</v>
      </c>
      <c r="P414">
        <v>198.81</v>
      </c>
      <c r="Q414">
        <v>30.71124518700633</v>
      </c>
      <c r="R414">
        <v>0.25</v>
      </c>
      <c r="S414">
        <v>28.2</v>
      </c>
      <c r="T414">
        <v>29.26</v>
      </c>
      <c r="U414">
        <v>5.2429383116883113</v>
      </c>
      <c r="V414">
        <v>13.4192445314919</v>
      </c>
      <c r="W414">
        <v>53.582977498344043</v>
      </c>
      <c r="X414">
        <v>10.46042135642135</v>
      </c>
      <c r="Y414">
        <v>4.4839029415706237</v>
      </c>
      <c r="Z414">
        <v>15570.365519841271</v>
      </c>
      <c r="AA414">
        <v>1924.050682897546</v>
      </c>
    </row>
    <row r="415" spans="1:27" hidden="1">
      <c r="A415">
        <v>38</v>
      </c>
      <c r="B415">
        <v>0</v>
      </c>
      <c r="C415">
        <v>22.862368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78.691831351152899</v>
      </c>
      <c r="M415">
        <v>32.89</v>
      </c>
      <c r="N415">
        <v>98.83</v>
      </c>
      <c r="O415">
        <v>0.33</v>
      </c>
      <c r="P415">
        <v>45.63</v>
      </c>
      <c r="Q415">
        <v>34.334772534975357</v>
      </c>
      <c r="R415">
        <v>0.93</v>
      </c>
      <c r="S415">
        <v>32.42</v>
      </c>
      <c r="T415">
        <v>10.39</v>
      </c>
      <c r="U415">
        <v>4.7180269795993466</v>
      </c>
      <c r="V415">
        <v>12.358057937532999</v>
      </c>
      <c r="W415">
        <v>57.079658039920993</v>
      </c>
      <c r="X415">
        <v>2.2304141721444188</v>
      </c>
      <c r="Y415">
        <v>4.219226951591029</v>
      </c>
      <c r="Z415">
        <v>1787.432058728308</v>
      </c>
      <c r="AA415">
        <v>1034.7755017760021</v>
      </c>
    </row>
    <row r="416" spans="1:27" hidden="1">
      <c r="A416">
        <v>68</v>
      </c>
      <c r="B416">
        <v>1</v>
      </c>
      <c r="C416">
        <v>24.489795999999998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70.593728188675001</v>
      </c>
      <c r="M416">
        <v>13.08</v>
      </c>
      <c r="N416">
        <v>17.670000000000002</v>
      </c>
      <c r="O416">
        <v>0.74</v>
      </c>
      <c r="P416">
        <v>28.77</v>
      </c>
      <c r="Q416">
        <v>58.335348031907998</v>
      </c>
      <c r="R416">
        <v>1.41</v>
      </c>
      <c r="S416">
        <v>31.37</v>
      </c>
      <c r="T416">
        <v>5.58</v>
      </c>
      <c r="U416">
        <v>3.189061062864015</v>
      </c>
      <c r="V416">
        <v>14.362424157541801</v>
      </c>
      <c r="W416">
        <v>60.796657084643677</v>
      </c>
      <c r="X416">
        <v>2.4038271185218218</v>
      </c>
      <c r="Y416">
        <v>4.3721481917840599</v>
      </c>
      <c r="Z416">
        <v>885.51452197802212</v>
      </c>
      <c r="AA416">
        <v>576.2079417683093</v>
      </c>
    </row>
    <row r="417" spans="1:27" hidden="1">
      <c r="A417">
        <v>66</v>
      </c>
      <c r="B417">
        <v>0</v>
      </c>
      <c r="C417">
        <v>21.907582999999999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60.225882266006813</v>
      </c>
      <c r="M417">
        <v>221.3</v>
      </c>
      <c r="N417">
        <v>349.93</v>
      </c>
      <c r="O417">
        <v>0.63</v>
      </c>
      <c r="P417">
        <v>80.23</v>
      </c>
      <c r="Q417">
        <v>31.35367164801195</v>
      </c>
      <c r="R417">
        <v>0.14000000000000001</v>
      </c>
      <c r="S417">
        <v>25.61</v>
      </c>
      <c r="T417">
        <v>6.59</v>
      </c>
      <c r="U417">
        <v>5.5863954378954386</v>
      </c>
      <c r="V417">
        <v>18.015147005772</v>
      </c>
      <c r="W417">
        <v>66.670641926174198</v>
      </c>
      <c r="X417">
        <v>9.6764152236652237</v>
      </c>
      <c r="Y417">
        <v>4.4559751498501496</v>
      </c>
      <c r="Z417">
        <v>4894.8422976190468</v>
      </c>
      <c r="AA417">
        <v>2485.452986904761</v>
      </c>
    </row>
    <row r="418" spans="1:27" hidden="1">
      <c r="A418">
        <v>44</v>
      </c>
      <c r="B418">
        <v>0</v>
      </c>
      <c r="C418">
        <v>20.88889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67.789162725346557</v>
      </c>
      <c r="M418">
        <v>2502.0100000000002</v>
      </c>
      <c r="N418">
        <v>1583.94</v>
      </c>
      <c r="O418">
        <v>1.58</v>
      </c>
      <c r="P418">
        <v>160.88999999999999</v>
      </c>
      <c r="Q418">
        <v>29.546178390220099</v>
      </c>
      <c r="R418">
        <v>0.44</v>
      </c>
      <c r="S418">
        <v>26.93</v>
      </c>
      <c r="T418">
        <v>18.87</v>
      </c>
      <c r="U418">
        <v>5.2261942293817301</v>
      </c>
      <c r="V418">
        <v>11.241636779886781</v>
      </c>
      <c r="W418">
        <v>47.60248339578181</v>
      </c>
      <c r="X418">
        <v>8.862477272727272</v>
      </c>
      <c r="Y418">
        <v>2.4098186119436118</v>
      </c>
      <c r="Z418">
        <v>10773.866305555561</v>
      </c>
      <c r="AA418">
        <v>2263.3687532467529</v>
      </c>
    </row>
    <row r="419" spans="1:27" hidden="1">
      <c r="A419">
        <v>41</v>
      </c>
      <c r="B419">
        <v>0</v>
      </c>
      <c r="C419">
        <v>21.258503000000001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88.718881021756005</v>
      </c>
      <c r="M419">
        <v>4164.42</v>
      </c>
      <c r="N419">
        <v>4128.4799999999996</v>
      </c>
      <c r="O419">
        <v>1.01</v>
      </c>
      <c r="P419">
        <v>267.26</v>
      </c>
      <c r="Q419">
        <v>23.93828072505994</v>
      </c>
      <c r="R419">
        <v>0.32</v>
      </c>
      <c r="S419">
        <v>28.91</v>
      </c>
      <c r="T419">
        <v>35.54</v>
      </c>
      <c r="U419">
        <v>5.7859264624264641</v>
      </c>
      <c r="V419">
        <v>12.391455570452941</v>
      </c>
      <c r="W419">
        <v>49.996921676548673</v>
      </c>
      <c r="X419">
        <v>8.4307651515151516</v>
      </c>
      <c r="Y419">
        <v>3.13166268290533</v>
      </c>
      <c r="Z419">
        <v>24850.67953607504</v>
      </c>
      <c r="AA419">
        <v>6027.0488297229458</v>
      </c>
    </row>
    <row r="420" spans="1:27" hidden="1">
      <c r="A420">
        <v>37</v>
      </c>
      <c r="B420">
        <v>0</v>
      </c>
      <c r="C420">
        <v>19.433014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89.76324213286712</v>
      </c>
      <c r="M420">
        <v>3292.54</v>
      </c>
      <c r="N420">
        <v>3974.14</v>
      </c>
      <c r="O420">
        <v>0.83</v>
      </c>
      <c r="P420">
        <v>243.77</v>
      </c>
      <c r="Q420">
        <v>25.265667298774542</v>
      </c>
      <c r="R420">
        <v>0.2</v>
      </c>
      <c r="S420">
        <v>28.38</v>
      </c>
      <c r="T420">
        <v>35.590000000000003</v>
      </c>
      <c r="U420">
        <v>6.050585497835498</v>
      </c>
      <c r="V420">
        <v>13.04183436665674</v>
      </c>
      <c r="W420">
        <v>51.108190074817053</v>
      </c>
      <c r="X420">
        <v>9.4225667388167373</v>
      </c>
      <c r="Y420">
        <v>4.1717593640020114</v>
      </c>
      <c r="Z420">
        <v>20779.460388888889</v>
      </c>
      <c r="AA420">
        <v>6007.1634130562798</v>
      </c>
    </row>
    <row r="421" spans="1:27" hidden="1">
      <c r="A421">
        <v>42</v>
      </c>
      <c r="B421">
        <v>0</v>
      </c>
      <c r="C421">
        <v>19.188566000000002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70.013227677602657</v>
      </c>
      <c r="M421">
        <v>1523.63</v>
      </c>
      <c r="N421">
        <v>395.58</v>
      </c>
      <c r="O421">
        <v>3.85</v>
      </c>
      <c r="P421">
        <v>413.82</v>
      </c>
      <c r="Q421">
        <v>62.07441135780428</v>
      </c>
      <c r="R421">
        <v>0.25</v>
      </c>
      <c r="S421">
        <v>23.83</v>
      </c>
      <c r="T421">
        <v>5.94</v>
      </c>
      <c r="U421">
        <v>6.3438630952380954</v>
      </c>
      <c r="V421">
        <v>14.85193243598507</v>
      </c>
      <c r="W421">
        <v>52.610686956680219</v>
      </c>
      <c r="X421">
        <v>9.9810055777555782</v>
      </c>
      <c r="Y421">
        <v>4.5397622766799586</v>
      </c>
      <c r="Z421">
        <v>6459.5897698412709</v>
      </c>
      <c r="AA421">
        <v>4528.3303821991358</v>
      </c>
    </row>
    <row r="422" spans="1:27" hidden="1">
      <c r="A422">
        <v>36</v>
      </c>
      <c r="B422">
        <v>0</v>
      </c>
      <c r="C422">
        <v>20.824656000000001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75.146457100448941</v>
      </c>
      <c r="M422">
        <v>57.89</v>
      </c>
      <c r="N422">
        <v>166.27</v>
      </c>
      <c r="O422">
        <v>0.35</v>
      </c>
      <c r="P422">
        <v>47.86</v>
      </c>
      <c r="Q422">
        <v>27.148007347511911</v>
      </c>
      <c r="R422">
        <v>0.37</v>
      </c>
      <c r="S422">
        <v>30.22</v>
      </c>
      <c r="T422">
        <v>11.44</v>
      </c>
      <c r="U422">
        <v>6.1182763055657787</v>
      </c>
      <c r="V422">
        <v>12.852145747908329</v>
      </c>
      <c r="W422">
        <v>56.302755633908447</v>
      </c>
      <c r="X422">
        <v>11.92418795093795</v>
      </c>
      <c r="Y422">
        <v>4.401786960329642</v>
      </c>
      <c r="Z422">
        <v>2185.5219246309239</v>
      </c>
      <c r="AA422">
        <v>1016.023248001998</v>
      </c>
    </row>
    <row r="423" spans="1:27" hidden="1">
      <c r="A423">
        <v>46</v>
      </c>
      <c r="B423">
        <v>1</v>
      </c>
      <c r="C423">
        <v>34.285713000000001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81.261447967065592</v>
      </c>
      <c r="M423">
        <v>30.8</v>
      </c>
      <c r="N423">
        <v>24.93</v>
      </c>
      <c r="O423">
        <v>1.24</v>
      </c>
      <c r="P423">
        <v>22.73</v>
      </c>
      <c r="Q423">
        <v>55.580975737602166</v>
      </c>
      <c r="R423">
        <v>0.36</v>
      </c>
      <c r="S423">
        <v>32.99</v>
      </c>
      <c r="T423">
        <v>5.22</v>
      </c>
      <c r="U423">
        <v>4.4075636305215236</v>
      </c>
      <c r="V423">
        <v>10.54625875513376</v>
      </c>
      <c r="W423">
        <v>55.903418831168842</v>
      </c>
      <c r="X423">
        <v>8.7403784271284266</v>
      </c>
      <c r="Y423">
        <v>2.4071818052088951</v>
      </c>
      <c r="Z423">
        <v>588.25905689522199</v>
      </c>
      <c r="AA423">
        <v>371.52828174603178</v>
      </c>
    </row>
    <row r="424" spans="1:27" hidden="1">
      <c r="A424">
        <v>38</v>
      </c>
      <c r="B424">
        <v>0</v>
      </c>
      <c r="C424">
        <v>18.09404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80.506684343434344</v>
      </c>
      <c r="M424">
        <v>94.66</v>
      </c>
      <c r="N424">
        <v>45.38</v>
      </c>
      <c r="O424">
        <v>2.09</v>
      </c>
      <c r="P424">
        <v>65.319999999999993</v>
      </c>
      <c r="Q424">
        <v>55.759547915448337</v>
      </c>
      <c r="R424">
        <v>0.31</v>
      </c>
      <c r="S424">
        <v>31.61</v>
      </c>
      <c r="T424">
        <v>4.16</v>
      </c>
      <c r="U424">
        <v>10.8789880952381</v>
      </c>
      <c r="V424">
        <v>30.752689997624199</v>
      </c>
      <c r="W424">
        <v>68.452500681851689</v>
      </c>
      <c r="X424">
        <v>19.17225493453914</v>
      </c>
      <c r="Y424">
        <v>16.96329317904318</v>
      </c>
      <c r="Z424">
        <v>3857.3994325396839</v>
      </c>
      <c r="AA424">
        <v>1966.3834358974359</v>
      </c>
    </row>
    <row r="425" spans="1:27" hidden="1">
      <c r="A425">
        <v>44</v>
      </c>
      <c r="B425">
        <v>1</v>
      </c>
      <c r="C425">
        <v>25.249338000000002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73.865088511655742</v>
      </c>
      <c r="M425">
        <v>100.13</v>
      </c>
      <c r="N425">
        <v>39.11</v>
      </c>
      <c r="O425">
        <v>2.56</v>
      </c>
      <c r="P425">
        <v>34.6</v>
      </c>
      <c r="Q425">
        <v>61.996221176037508</v>
      </c>
      <c r="R425">
        <v>0.28999999999999998</v>
      </c>
      <c r="S425">
        <v>29.82</v>
      </c>
      <c r="T425">
        <v>4.62</v>
      </c>
      <c r="U425">
        <v>4.8874306789701523</v>
      </c>
      <c r="V425">
        <v>13.065556830977309</v>
      </c>
      <c r="W425">
        <v>53.078025331537638</v>
      </c>
      <c r="X425">
        <v>10.111488095238091</v>
      </c>
      <c r="Y425">
        <v>3.4344749870013018</v>
      </c>
      <c r="Z425">
        <v>1434.666811799312</v>
      </c>
      <c r="AA425">
        <v>740.14685997336016</v>
      </c>
    </row>
    <row r="426" spans="1:27" hidden="1">
      <c r="A426">
        <v>75</v>
      </c>
      <c r="B426">
        <v>0</v>
      </c>
      <c r="C426">
        <v>25.915129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88.632927655677662</v>
      </c>
      <c r="M426">
        <v>2865.57</v>
      </c>
      <c r="N426">
        <v>5827.14</v>
      </c>
      <c r="O426">
        <v>0.49</v>
      </c>
      <c r="P426">
        <v>311.55</v>
      </c>
      <c r="Q426">
        <v>20.53652088114362</v>
      </c>
      <c r="R426">
        <v>0.15</v>
      </c>
      <c r="S426">
        <v>30.87</v>
      </c>
      <c r="T426">
        <v>38.22</v>
      </c>
      <c r="U426">
        <v>5.6731012087327883</v>
      </c>
      <c r="V426">
        <v>16.865268265068259</v>
      </c>
      <c r="W426">
        <v>62.683309523809548</v>
      </c>
      <c r="X426">
        <v>8.538882561882561</v>
      </c>
      <c r="Y426">
        <v>3.6392275641025651</v>
      </c>
      <c r="Z426">
        <v>21038.215246031748</v>
      </c>
      <c r="AA426">
        <v>6010.3575422943741</v>
      </c>
    </row>
    <row r="427" spans="1:27" hidden="1">
      <c r="A427">
        <v>39</v>
      </c>
      <c r="B427">
        <v>0</v>
      </c>
      <c r="C427">
        <v>23.495236999999999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70.87237879743283</v>
      </c>
      <c r="M427">
        <v>422.88</v>
      </c>
      <c r="N427">
        <v>275.66000000000003</v>
      </c>
      <c r="O427">
        <v>1.53</v>
      </c>
      <c r="P427">
        <v>109.59</v>
      </c>
      <c r="Q427">
        <v>53.830295167305692</v>
      </c>
      <c r="R427">
        <v>0.13</v>
      </c>
      <c r="S427">
        <v>31.87</v>
      </c>
      <c r="T427">
        <v>15.14</v>
      </c>
      <c r="U427">
        <v>7.8565676882296476</v>
      </c>
      <c r="V427">
        <v>15.04644222999223</v>
      </c>
      <c r="W427">
        <v>61.510450488567088</v>
      </c>
      <c r="X427">
        <v>11.45216341991342</v>
      </c>
      <c r="Y427">
        <v>6.4094249334676183</v>
      </c>
      <c r="Z427">
        <v>4985.3617579365091</v>
      </c>
      <c r="AA427">
        <v>2419.718617762016</v>
      </c>
    </row>
    <row r="428" spans="1:27" hidden="1">
      <c r="A428">
        <v>64</v>
      </c>
      <c r="B428">
        <v>0</v>
      </c>
      <c r="C428">
        <v>21.875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62.539527817040273</v>
      </c>
      <c r="M428">
        <v>227.17</v>
      </c>
      <c r="N428">
        <v>574.26</v>
      </c>
      <c r="O428">
        <v>0.4</v>
      </c>
      <c r="P428">
        <v>90.09</v>
      </c>
      <c r="Q428">
        <v>27.533033374892579</v>
      </c>
      <c r="R428">
        <v>0.4</v>
      </c>
      <c r="S428">
        <v>33.31</v>
      </c>
      <c r="T428">
        <v>10.01</v>
      </c>
      <c r="U428">
        <v>5.3414437784437778</v>
      </c>
      <c r="V428">
        <v>18.230638972138969</v>
      </c>
      <c r="W428">
        <v>67.724099206349223</v>
      </c>
      <c r="X428">
        <v>9.8247238317238281</v>
      </c>
      <c r="Y428">
        <v>4.2003437507614354</v>
      </c>
      <c r="Z428">
        <v>4452.8457698412703</v>
      </c>
      <c r="AA428">
        <v>2187.6592492308801</v>
      </c>
    </row>
    <row r="429" spans="1:27" hidden="1">
      <c r="A429">
        <v>68</v>
      </c>
      <c r="B429">
        <v>0</v>
      </c>
      <c r="C429">
        <v>22.640865000000002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60.488760600510638</v>
      </c>
      <c r="M429">
        <v>135.53</v>
      </c>
      <c r="N429">
        <v>414.11</v>
      </c>
      <c r="O429">
        <v>0.33</v>
      </c>
      <c r="P429">
        <v>73.709999999999994</v>
      </c>
      <c r="Q429">
        <v>24.101830566097171</v>
      </c>
      <c r="R429">
        <v>7.0000000000000007E-2</v>
      </c>
      <c r="S429">
        <v>32.799999999999997</v>
      </c>
      <c r="T429">
        <v>4.67</v>
      </c>
      <c r="U429">
        <v>9.2211507936507946</v>
      </c>
      <c r="V429">
        <v>17.208408008658012</v>
      </c>
      <c r="W429">
        <v>76.008051587301594</v>
      </c>
      <c r="X429">
        <v>11.350591269841271</v>
      </c>
      <c r="Y429">
        <v>6.1162572705072717</v>
      </c>
      <c r="Z429">
        <v>4306.996646825397</v>
      </c>
      <c r="AA429">
        <v>1852.9751691190479</v>
      </c>
    </row>
    <row r="430" spans="1:27" hidden="1">
      <c r="A430">
        <v>70</v>
      </c>
      <c r="B430">
        <v>1</v>
      </c>
      <c r="C430">
        <v>21.671258999999999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83.99794693005407</v>
      </c>
      <c r="M430">
        <v>1907.09</v>
      </c>
      <c r="N430">
        <v>2760.35</v>
      </c>
      <c r="O430">
        <v>0.69</v>
      </c>
      <c r="P430">
        <v>196</v>
      </c>
      <c r="Q430">
        <v>25.41049093487344</v>
      </c>
      <c r="R430">
        <v>0.23</v>
      </c>
      <c r="S430">
        <v>31.5</v>
      </c>
      <c r="T430">
        <v>32.14</v>
      </c>
      <c r="U430">
        <v>5.6084488566988568</v>
      </c>
      <c r="V430">
        <v>14.84916494616494</v>
      </c>
      <c r="W430">
        <v>63.537202380952401</v>
      </c>
      <c r="X430">
        <v>8.3707128427128428</v>
      </c>
      <c r="Y430">
        <v>2.3692647471138559</v>
      </c>
      <c r="Z430">
        <v>16584.243222222231</v>
      </c>
      <c r="AA430">
        <v>2055.5012735642131</v>
      </c>
    </row>
    <row r="431" spans="1:27" hidden="1">
      <c r="A431">
        <v>67</v>
      </c>
      <c r="B431">
        <v>1</v>
      </c>
      <c r="C431">
        <v>23.661438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59.127980685980702</v>
      </c>
      <c r="M431">
        <v>154</v>
      </c>
      <c r="N431">
        <v>254.21</v>
      </c>
      <c r="O431">
        <v>0.61</v>
      </c>
      <c r="P431">
        <v>52.78</v>
      </c>
      <c r="Q431">
        <v>34.089153578897353</v>
      </c>
      <c r="R431">
        <v>0.46</v>
      </c>
      <c r="S431">
        <v>28.35</v>
      </c>
      <c r="T431">
        <v>4.21</v>
      </c>
      <c r="U431">
        <v>5.0364826546003023</v>
      </c>
      <c r="V431">
        <v>14.81115634293243</v>
      </c>
      <c r="W431">
        <v>68.093028328212981</v>
      </c>
      <c r="X431">
        <v>8.893233294483295</v>
      </c>
      <c r="Y431">
        <v>2.4004752952116548</v>
      </c>
      <c r="Z431">
        <v>2674.214366123641</v>
      </c>
      <c r="AA431">
        <v>1556.286157388889</v>
      </c>
    </row>
    <row r="432" spans="1:27" hidden="1">
      <c r="A432">
        <v>69</v>
      </c>
      <c r="B432">
        <v>0</v>
      </c>
      <c r="C432">
        <v>21.333334000000001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80.279475712693113</v>
      </c>
      <c r="M432">
        <v>6</v>
      </c>
      <c r="N432">
        <v>6.47</v>
      </c>
      <c r="O432">
        <v>0.93</v>
      </c>
      <c r="P432">
        <v>18.84</v>
      </c>
      <c r="Q432">
        <v>59.317341792009962</v>
      </c>
      <c r="R432">
        <v>0.22</v>
      </c>
      <c r="S432">
        <v>32.92</v>
      </c>
      <c r="T432">
        <v>1.66</v>
      </c>
      <c r="U432">
        <v>6.6152509337068146</v>
      </c>
      <c r="V432">
        <v>16.58124014256709</v>
      </c>
      <c r="W432">
        <v>74.913527777777787</v>
      </c>
      <c r="X432">
        <v>16.493855988455991</v>
      </c>
      <c r="Y432">
        <v>9.8503661477411519</v>
      </c>
      <c r="Z432">
        <v>522.37984126984145</v>
      </c>
      <c r="AA432">
        <v>237.8371311327561</v>
      </c>
    </row>
    <row r="433" spans="1:27" hidden="1">
      <c r="A433">
        <v>69</v>
      </c>
      <c r="B433">
        <v>0</v>
      </c>
      <c r="C433">
        <v>21.477654000000001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92.868821428571422</v>
      </c>
      <c r="M433">
        <v>23979.42</v>
      </c>
      <c r="N433">
        <v>12385.79</v>
      </c>
      <c r="O433">
        <v>1.94</v>
      </c>
      <c r="P433">
        <v>510.76</v>
      </c>
      <c r="Q433">
        <v>21.51036025936158</v>
      </c>
      <c r="R433">
        <v>0.24</v>
      </c>
      <c r="S433">
        <v>31.26</v>
      </c>
      <c r="T433">
        <v>53.3</v>
      </c>
      <c r="U433">
        <v>6.0739425340741153</v>
      </c>
      <c r="V433">
        <v>18.3177977022977</v>
      </c>
      <c r="W433">
        <v>63.608781746031767</v>
      </c>
      <c r="X433">
        <v>8.7834906204906193</v>
      </c>
      <c r="Y433">
        <v>3.3034364385614379</v>
      </c>
      <c r="Z433">
        <v>35928.778928932174</v>
      </c>
      <c r="AA433">
        <v>6522.7291018181841</v>
      </c>
    </row>
    <row r="434" spans="1:27" hidden="1">
      <c r="A434">
        <v>66</v>
      </c>
      <c r="B434">
        <v>0</v>
      </c>
      <c r="C434">
        <v>21.155294000000001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65.103597544060008</v>
      </c>
      <c r="M434">
        <v>304.16000000000003</v>
      </c>
      <c r="N434">
        <v>1182.93</v>
      </c>
      <c r="O434">
        <v>0.26</v>
      </c>
      <c r="P434">
        <v>112.33</v>
      </c>
      <c r="Q434">
        <v>25.418197830175469</v>
      </c>
      <c r="R434">
        <v>0.25</v>
      </c>
      <c r="S434">
        <v>30.51</v>
      </c>
      <c r="T434">
        <v>6.94</v>
      </c>
      <c r="U434">
        <v>5.463980745862326</v>
      </c>
      <c r="V434">
        <v>18.471773088023092</v>
      </c>
      <c r="W434">
        <v>67.635509123493023</v>
      </c>
      <c r="X434">
        <v>10.61790331890332</v>
      </c>
      <c r="Y434">
        <v>4.4224919386169397</v>
      </c>
      <c r="Z434">
        <v>4715.0826150793646</v>
      </c>
      <c r="AA434">
        <v>1920.2072539213559</v>
      </c>
    </row>
    <row r="435" spans="1:27" hidden="1">
      <c r="A435">
        <v>46</v>
      </c>
      <c r="B435">
        <v>0</v>
      </c>
      <c r="C435">
        <v>19.53125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68.880749772139538</v>
      </c>
      <c r="M435">
        <v>706.35</v>
      </c>
      <c r="N435">
        <v>1025.1400000000001</v>
      </c>
      <c r="O435">
        <v>0.69</v>
      </c>
      <c r="P435">
        <v>133.38999999999999</v>
      </c>
      <c r="Q435">
        <v>29.729168442194879</v>
      </c>
      <c r="R435">
        <v>0.28000000000000003</v>
      </c>
      <c r="S435">
        <v>30.42</v>
      </c>
      <c r="T435">
        <v>17.920000000000002</v>
      </c>
      <c r="U435">
        <v>5.9404950648766439</v>
      </c>
      <c r="V435">
        <v>14.33418667443668</v>
      </c>
      <c r="W435">
        <v>55.729883091182288</v>
      </c>
      <c r="X435">
        <v>9.4555263347763336</v>
      </c>
      <c r="Y435">
        <v>3.1118374994888161</v>
      </c>
      <c r="Z435">
        <v>5187.8690317460314</v>
      </c>
      <c r="AA435">
        <v>1911.760015920745</v>
      </c>
    </row>
    <row r="436" spans="1:27" hidden="1">
      <c r="A436">
        <v>53</v>
      </c>
      <c r="B436">
        <v>0</v>
      </c>
      <c r="C436">
        <v>21.854914000000001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68.675489649239694</v>
      </c>
      <c r="M436">
        <v>42.49</v>
      </c>
      <c r="N436">
        <v>50</v>
      </c>
      <c r="O436">
        <v>0.85</v>
      </c>
      <c r="P436">
        <v>37.57</v>
      </c>
      <c r="Q436">
        <v>32.099124097117063</v>
      </c>
      <c r="R436">
        <v>0.31</v>
      </c>
      <c r="S436">
        <v>31.08</v>
      </c>
      <c r="T436">
        <v>6.2</v>
      </c>
      <c r="U436">
        <v>5.7140441093281273</v>
      </c>
      <c r="V436">
        <v>14.8094601695548</v>
      </c>
      <c r="W436">
        <v>56.880529970449423</v>
      </c>
      <c r="X436">
        <v>9.6954141414141422</v>
      </c>
      <c r="Y436">
        <v>4.910136180553863</v>
      </c>
      <c r="Z436">
        <v>1551.749673520924</v>
      </c>
      <c r="AA436">
        <v>1033.1015465367959</v>
      </c>
    </row>
    <row r="437" spans="1:27" hidden="1">
      <c r="A437">
        <v>43</v>
      </c>
      <c r="B437">
        <v>0</v>
      </c>
      <c r="C437">
        <v>21.077196000000001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69.358670037691112</v>
      </c>
      <c r="M437">
        <v>73.709999999999994</v>
      </c>
      <c r="N437">
        <v>150.13</v>
      </c>
      <c r="O437">
        <v>0.49</v>
      </c>
      <c r="P437">
        <v>41.84</v>
      </c>
      <c r="Q437">
        <v>29.662897941774862</v>
      </c>
      <c r="R437">
        <v>0.1</v>
      </c>
      <c r="S437">
        <v>24.19</v>
      </c>
      <c r="T437">
        <v>5.18</v>
      </c>
      <c r="U437">
        <v>6.1071069529172863</v>
      </c>
      <c r="V437">
        <v>13.75193868450391</v>
      </c>
      <c r="W437">
        <v>53.026907478702007</v>
      </c>
      <c r="X437">
        <v>11.3352886002886</v>
      </c>
      <c r="Y437">
        <v>5.0827555222555212</v>
      </c>
      <c r="Z437">
        <v>2015.220985576623</v>
      </c>
      <c r="AA437">
        <v>923.43244549894541</v>
      </c>
    </row>
    <row r="438" spans="1:27" hidden="1">
      <c r="A438">
        <v>46</v>
      </c>
      <c r="B438">
        <v>0</v>
      </c>
      <c r="C438">
        <v>28.763971000000002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67.734558312652567</v>
      </c>
      <c r="M438">
        <v>30.94</v>
      </c>
      <c r="N438">
        <v>108.48</v>
      </c>
      <c r="O438">
        <v>0.28999999999999998</v>
      </c>
      <c r="P438">
        <v>36.700000000000003</v>
      </c>
      <c r="Q438">
        <v>31.44509502129382</v>
      </c>
      <c r="R438">
        <v>0.24</v>
      </c>
      <c r="S438">
        <v>32.18</v>
      </c>
      <c r="T438">
        <v>9.4</v>
      </c>
      <c r="U438">
        <v>4.7832646520146511</v>
      </c>
      <c r="V438">
        <v>16.870642680507899</v>
      </c>
      <c r="W438">
        <v>59.445581579575482</v>
      </c>
      <c r="X438">
        <v>9.3115609668109656</v>
      </c>
      <c r="Y438">
        <v>4.0995151967915131</v>
      </c>
      <c r="Z438">
        <v>1541.2000740925751</v>
      </c>
      <c r="AA438">
        <v>813.31803060828054</v>
      </c>
    </row>
    <row r="439" spans="1:27" hidden="1">
      <c r="A439">
        <v>31</v>
      </c>
      <c r="B439">
        <v>0</v>
      </c>
      <c r="C439">
        <v>23.011177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83.139783487521314</v>
      </c>
      <c r="M439">
        <v>25.83</v>
      </c>
      <c r="N439">
        <v>54.9</v>
      </c>
      <c r="O439">
        <v>0.47</v>
      </c>
      <c r="P439">
        <v>42.64</v>
      </c>
      <c r="Q439">
        <v>35.17216532632299</v>
      </c>
      <c r="R439">
        <v>0.44</v>
      </c>
      <c r="S439">
        <v>32.14</v>
      </c>
      <c r="T439">
        <v>4.42</v>
      </c>
      <c r="U439">
        <v>6.6790374473884171</v>
      </c>
      <c r="V439">
        <v>13.908529655624291</v>
      </c>
      <c r="W439">
        <v>62.013205869527297</v>
      </c>
      <c r="X439">
        <v>14.038961711095929</v>
      </c>
      <c r="Y439">
        <v>7.2029892117142156</v>
      </c>
      <c r="Z439">
        <v>1714.9966195748691</v>
      </c>
      <c r="AA439">
        <v>1111.399007187257</v>
      </c>
    </row>
    <row r="440" spans="1:27" hidden="1">
      <c r="A440">
        <v>45</v>
      </c>
      <c r="B440">
        <v>0</v>
      </c>
      <c r="C440">
        <v>20.342797999999998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75.093541872378836</v>
      </c>
      <c r="M440">
        <v>242.02</v>
      </c>
      <c r="N440">
        <v>15.69</v>
      </c>
      <c r="O440">
        <v>15.43</v>
      </c>
      <c r="P440">
        <v>41.71</v>
      </c>
      <c r="Q440">
        <v>78.479321469186345</v>
      </c>
      <c r="R440">
        <v>0.28000000000000003</v>
      </c>
      <c r="S440">
        <v>32.39</v>
      </c>
      <c r="T440">
        <v>12.01</v>
      </c>
      <c r="U440">
        <v>6.069485285182652</v>
      </c>
      <c r="V440">
        <v>17.28883053058053</v>
      </c>
      <c r="W440">
        <v>67.222858831558966</v>
      </c>
      <c r="X440">
        <v>10.08810714285714</v>
      </c>
      <c r="Y440">
        <v>5.3535764624941429</v>
      </c>
      <c r="Z440">
        <v>1836.0541940337439</v>
      </c>
      <c r="AA440">
        <v>1081.357804112554</v>
      </c>
    </row>
    <row r="441" spans="1:27" hidden="1">
      <c r="A441">
        <v>38</v>
      </c>
      <c r="B441">
        <v>0</v>
      </c>
      <c r="C441">
        <v>23.711845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69.762552039148318</v>
      </c>
      <c r="M441">
        <v>1674.99</v>
      </c>
      <c r="N441">
        <v>3497.17</v>
      </c>
      <c r="O441">
        <v>0.48</v>
      </c>
      <c r="P441">
        <v>203.21</v>
      </c>
      <c r="Q441">
        <v>29.33932806637257</v>
      </c>
      <c r="R441">
        <v>0.42</v>
      </c>
      <c r="S441">
        <v>32.880000000000003</v>
      </c>
      <c r="T441">
        <v>11.29</v>
      </c>
      <c r="U441">
        <v>5.5504452838827838</v>
      </c>
      <c r="V441">
        <v>16.398664805662179</v>
      </c>
      <c r="W441">
        <v>58.228605591150711</v>
      </c>
      <c r="X441">
        <v>9.6864213564213539</v>
      </c>
      <c r="Y441">
        <v>2.771175303561173</v>
      </c>
      <c r="Z441">
        <v>11630.71736507937</v>
      </c>
      <c r="AA441">
        <v>1961.184361857253</v>
      </c>
    </row>
    <row r="442" spans="1:27" hidden="1">
      <c r="A442">
        <v>52</v>
      </c>
      <c r="B442">
        <v>0</v>
      </c>
      <c r="C442">
        <v>19.362473000000001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65.941990749940686</v>
      </c>
      <c r="M442">
        <v>565.70000000000005</v>
      </c>
      <c r="N442">
        <v>747.13</v>
      </c>
      <c r="O442">
        <v>0.76</v>
      </c>
      <c r="P442">
        <v>117.28</v>
      </c>
      <c r="Q442">
        <v>34.720482544758852</v>
      </c>
      <c r="R442">
        <v>0.28999999999999998</v>
      </c>
      <c r="S442">
        <v>30.58</v>
      </c>
      <c r="T442">
        <v>12.63</v>
      </c>
      <c r="U442">
        <v>5.498359670858898</v>
      </c>
      <c r="V442">
        <v>14.498591436341441</v>
      </c>
      <c r="W442">
        <v>56.355887477147213</v>
      </c>
      <c r="X442">
        <v>9.8502168109668098</v>
      </c>
      <c r="Y442">
        <v>4.2076114275291108</v>
      </c>
      <c r="Z442">
        <v>5102.9580793650794</v>
      </c>
      <c r="AA442">
        <v>2036.2535216905869</v>
      </c>
    </row>
    <row r="443" spans="1:27" hidden="1">
      <c r="A443">
        <v>58</v>
      </c>
      <c r="B443">
        <v>0</v>
      </c>
      <c r="C443">
        <v>27.377776999999998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75.180176470588208</v>
      </c>
      <c r="M443">
        <v>14.24</v>
      </c>
      <c r="N443">
        <v>33.049999999999997</v>
      </c>
      <c r="O443">
        <v>0.43</v>
      </c>
      <c r="P443">
        <v>23.6</v>
      </c>
      <c r="Q443">
        <v>50.284641249512013</v>
      </c>
      <c r="R443">
        <v>0.53</v>
      </c>
      <c r="S443">
        <v>31.99</v>
      </c>
      <c r="T443">
        <v>4.17</v>
      </c>
      <c r="U443">
        <v>5.301669585095051</v>
      </c>
      <c r="V443">
        <v>12.367499572181149</v>
      </c>
      <c r="W443">
        <v>62.61228342628344</v>
      </c>
      <c r="X443">
        <v>9.0149195526695518</v>
      </c>
      <c r="Y443">
        <v>4.9048854959854964</v>
      </c>
      <c r="Z443">
        <v>608.5290894886939</v>
      </c>
      <c r="AA443">
        <v>437.02792726717729</v>
      </c>
    </row>
    <row r="444" spans="1:27" hidden="1">
      <c r="A444">
        <v>43</v>
      </c>
      <c r="B444">
        <v>0</v>
      </c>
      <c r="C444">
        <v>24.464601999999999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75.025164264130311</v>
      </c>
      <c r="M444">
        <v>36.090000000000003</v>
      </c>
      <c r="N444">
        <v>42.63</v>
      </c>
      <c r="O444">
        <v>0.85</v>
      </c>
      <c r="P444">
        <v>33.979999999999997</v>
      </c>
      <c r="Q444">
        <v>49.435533424731247</v>
      </c>
      <c r="R444">
        <v>0.46</v>
      </c>
      <c r="S444">
        <v>33.880000000000003</v>
      </c>
      <c r="T444">
        <v>6.89</v>
      </c>
      <c r="U444">
        <v>5.4022275790729726</v>
      </c>
      <c r="V444">
        <v>13.73282190293367</v>
      </c>
      <c r="W444">
        <v>59.81350265035357</v>
      </c>
      <c r="X444">
        <v>8.3573542351368424</v>
      </c>
      <c r="Y444">
        <v>3.5204106616728472</v>
      </c>
      <c r="Z444">
        <v>1215.437734126984</v>
      </c>
      <c r="AA444">
        <v>735.42686629799732</v>
      </c>
    </row>
    <row r="445" spans="1:27" hidden="1">
      <c r="A445">
        <v>42</v>
      </c>
      <c r="B445">
        <v>1</v>
      </c>
      <c r="C445">
        <v>26.674875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83.847236290670111</v>
      </c>
      <c r="M445">
        <v>1330.29</v>
      </c>
      <c r="N445">
        <v>2263.35</v>
      </c>
      <c r="O445">
        <v>0.59</v>
      </c>
      <c r="P445">
        <v>181.34</v>
      </c>
      <c r="Q445">
        <v>28.2041570539348</v>
      </c>
      <c r="R445">
        <v>0.31</v>
      </c>
      <c r="S445">
        <v>30.5</v>
      </c>
      <c r="T445">
        <v>54.52</v>
      </c>
      <c r="U445">
        <v>4.9669377888193669</v>
      </c>
      <c r="V445">
        <v>13.748972249972249</v>
      </c>
      <c r="W445">
        <v>55.043735728091093</v>
      </c>
      <c r="X445">
        <v>8.9806334776334769</v>
      </c>
      <c r="Y445">
        <v>2.1679016920402749</v>
      </c>
      <c r="Z445">
        <v>15206.487972222219</v>
      </c>
      <c r="AA445">
        <v>3460.2250349927849</v>
      </c>
    </row>
    <row r="446" spans="1:27" hidden="1">
      <c r="A446">
        <v>42</v>
      </c>
      <c r="B446">
        <v>1</v>
      </c>
      <c r="C446">
        <v>28.089887999999998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66.726146951508184</v>
      </c>
      <c r="M446">
        <v>108.3</v>
      </c>
      <c r="N446">
        <v>147.28</v>
      </c>
      <c r="O446">
        <v>0.74</v>
      </c>
      <c r="P446">
        <v>61.65</v>
      </c>
      <c r="Q446">
        <v>38.498730013644057</v>
      </c>
      <c r="R446">
        <v>0.35</v>
      </c>
      <c r="S446">
        <v>31.36</v>
      </c>
      <c r="T446">
        <v>6.91</v>
      </c>
      <c r="U446">
        <v>4.6520817484888699</v>
      </c>
      <c r="V446">
        <v>16.75755740750478</v>
      </c>
      <c r="W446">
        <v>56.322860718959411</v>
      </c>
      <c r="X446">
        <v>9.4254063714063712</v>
      </c>
      <c r="Y446">
        <v>3.6492122877122881</v>
      </c>
      <c r="Z446">
        <v>3639.8743611111108</v>
      </c>
      <c r="AA446">
        <v>2088.7199379212452</v>
      </c>
    </row>
    <row r="447" spans="1:27" hidden="1">
      <c r="A447">
        <v>61</v>
      </c>
      <c r="B447">
        <v>0</v>
      </c>
      <c r="C447">
        <v>23.011177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67.349386724386719</v>
      </c>
      <c r="M447">
        <v>26.22</v>
      </c>
      <c r="N447">
        <v>44.55</v>
      </c>
      <c r="O447">
        <v>0.59</v>
      </c>
      <c r="P447">
        <v>35.049999999999997</v>
      </c>
      <c r="Q447">
        <v>38.647741897046409</v>
      </c>
      <c r="R447">
        <v>0.27</v>
      </c>
      <c r="S447">
        <v>27.93</v>
      </c>
      <c r="T447">
        <v>3.14</v>
      </c>
      <c r="U447">
        <v>6.2084909365144654</v>
      </c>
      <c r="V447">
        <v>16.489952642767861</v>
      </c>
      <c r="W447">
        <v>64.042762483130915</v>
      </c>
      <c r="X447">
        <v>12.63499360142781</v>
      </c>
      <c r="Y447">
        <v>6.9721801948051976</v>
      </c>
      <c r="Z447">
        <v>1416.703006854256</v>
      </c>
      <c r="AA447">
        <v>728.88677435064949</v>
      </c>
    </row>
    <row r="448" spans="1:27" hidden="1">
      <c r="A448">
        <v>37</v>
      </c>
      <c r="B448">
        <v>0</v>
      </c>
      <c r="C448">
        <v>25.217358000000001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73.616213783965009</v>
      </c>
      <c r="M448">
        <v>170.27</v>
      </c>
      <c r="N448">
        <v>112.65</v>
      </c>
      <c r="O448">
        <v>1.51</v>
      </c>
      <c r="P448">
        <v>46.51</v>
      </c>
      <c r="Q448">
        <v>47.940224454249972</v>
      </c>
      <c r="R448">
        <v>0.41</v>
      </c>
      <c r="S448">
        <v>27.46</v>
      </c>
      <c r="T448">
        <v>11.83</v>
      </c>
      <c r="U448">
        <v>5.2003056106904788</v>
      </c>
      <c r="V448">
        <v>12.206122892261559</v>
      </c>
      <c r="W448">
        <v>50.454870206918159</v>
      </c>
      <c r="X448">
        <v>10.570645021645021</v>
      </c>
      <c r="Y448">
        <v>3.258952598612928</v>
      </c>
      <c r="Z448">
        <v>2214.3137313057318</v>
      </c>
      <c r="AA448">
        <v>1292.9577142857149</v>
      </c>
    </row>
    <row r="449" spans="1:27">
      <c r="A449">
        <v>54</v>
      </c>
      <c r="B449">
        <v>0</v>
      </c>
      <c r="C449">
        <v>27.777778999999999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67.916817821067824</v>
      </c>
      <c r="M449">
        <v>26.22</v>
      </c>
      <c r="N449">
        <v>44.55</v>
      </c>
      <c r="O449">
        <v>0.59</v>
      </c>
      <c r="P449">
        <v>35.049999999999997</v>
      </c>
      <c r="Q449">
        <v>40.532320491027789</v>
      </c>
      <c r="R449">
        <v>0.27</v>
      </c>
      <c r="S449">
        <v>27.93</v>
      </c>
      <c r="T449">
        <v>3.14</v>
      </c>
      <c r="U449">
        <v>11.192402068519719</v>
      </c>
      <c r="V449">
        <v>22.271380853507331</v>
      </c>
      <c r="W449">
        <v>54.791317460317451</v>
      </c>
      <c r="X449">
        <v>27.8458664021164</v>
      </c>
      <c r="Y449">
        <v>22.67236186036186</v>
      </c>
      <c r="Z449">
        <v>1414.539087301587</v>
      </c>
      <c r="AA449">
        <v>709.05539568764584</v>
      </c>
    </row>
    <row r="450" spans="1:27" hidden="1">
      <c r="A450">
        <v>30</v>
      </c>
      <c r="B450">
        <v>0</v>
      </c>
      <c r="C450">
        <v>21.778435000000002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73.966648004316326</v>
      </c>
      <c r="M450">
        <v>50.96</v>
      </c>
      <c r="N450">
        <v>229.95</v>
      </c>
      <c r="O450">
        <v>0.22</v>
      </c>
      <c r="P450">
        <v>47.49</v>
      </c>
      <c r="Q450">
        <v>24.439836656181811</v>
      </c>
      <c r="R450">
        <v>0.3</v>
      </c>
      <c r="S450">
        <v>30.65</v>
      </c>
      <c r="T450">
        <v>7.92</v>
      </c>
      <c r="U450">
        <v>6.7466580364080366</v>
      </c>
      <c r="V450">
        <v>15.436877765890349</v>
      </c>
      <c r="W450">
        <v>57.734651695215881</v>
      </c>
      <c r="X450">
        <v>12.26295382395382</v>
      </c>
      <c r="Y450">
        <v>4.781193847818848</v>
      </c>
      <c r="Z450">
        <v>2292.8117849187852</v>
      </c>
      <c r="AA450">
        <v>1012.609113969364</v>
      </c>
    </row>
    <row r="451" spans="1:27" hidden="1">
      <c r="A451">
        <v>35</v>
      </c>
      <c r="B451">
        <v>0</v>
      </c>
      <c r="C451">
        <v>20.3125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78.281099694423247</v>
      </c>
      <c r="M451">
        <v>225.17</v>
      </c>
      <c r="N451">
        <v>81.209999999999994</v>
      </c>
      <c r="O451">
        <v>2.77</v>
      </c>
      <c r="P451">
        <v>54.66</v>
      </c>
      <c r="Q451">
        <v>63.316243647387253</v>
      </c>
      <c r="R451">
        <v>0.38</v>
      </c>
      <c r="S451">
        <v>32.49</v>
      </c>
      <c r="T451">
        <v>11.13</v>
      </c>
      <c r="U451">
        <v>5.9667253469501533</v>
      </c>
      <c r="V451">
        <v>13.21839531375058</v>
      </c>
      <c r="W451">
        <v>61.344546899233293</v>
      </c>
      <c r="X451">
        <v>11.399093795093799</v>
      </c>
      <c r="Y451">
        <v>4.854065112732795</v>
      </c>
      <c r="Z451">
        <v>2993.8005602073358</v>
      </c>
      <c r="AA451">
        <v>1864.3051620879121</v>
      </c>
    </row>
    <row r="452" spans="1:27" hidden="1">
      <c r="A452">
        <v>25</v>
      </c>
      <c r="B452">
        <v>0</v>
      </c>
      <c r="C452">
        <v>22.679953000000001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74.62590056154427</v>
      </c>
      <c r="M452">
        <v>74.09</v>
      </c>
      <c r="N452">
        <v>110.94</v>
      </c>
      <c r="O452">
        <v>0.67</v>
      </c>
      <c r="P452">
        <v>48.13</v>
      </c>
      <c r="Q452">
        <v>32.393419003113898</v>
      </c>
      <c r="R452">
        <v>0.28000000000000003</v>
      </c>
      <c r="S452">
        <v>28.93</v>
      </c>
      <c r="T452">
        <v>8.91</v>
      </c>
      <c r="U452">
        <v>5.4490743145743128</v>
      </c>
      <c r="V452">
        <v>12.82227291422028</v>
      </c>
      <c r="W452">
        <v>53.832141966436502</v>
      </c>
      <c r="X452">
        <v>11.8047316017316</v>
      </c>
      <c r="Y452">
        <v>4.0743051088477911</v>
      </c>
      <c r="Z452">
        <v>2564.3327063769561</v>
      </c>
      <c r="AA452">
        <v>1203.8211861471871</v>
      </c>
    </row>
    <row r="453" spans="1:27" hidden="1">
      <c r="A453">
        <v>27</v>
      </c>
      <c r="B453">
        <v>0</v>
      </c>
      <c r="C453">
        <v>20.173252000000002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81.716969178164831</v>
      </c>
      <c r="M453">
        <v>2424.15</v>
      </c>
      <c r="N453">
        <v>456.01</v>
      </c>
      <c r="O453">
        <v>5.32</v>
      </c>
      <c r="P453">
        <v>130.97999999999999</v>
      </c>
      <c r="Q453">
        <v>67.578765560420777</v>
      </c>
      <c r="R453">
        <v>0.16</v>
      </c>
      <c r="S453">
        <v>24.37</v>
      </c>
      <c r="T453">
        <v>32.28</v>
      </c>
      <c r="U453">
        <v>5.5299524568998244</v>
      </c>
      <c r="V453">
        <v>13.80560083702847</v>
      </c>
      <c r="W453">
        <v>52.358152732556867</v>
      </c>
      <c r="X453">
        <v>10.168216810966809</v>
      </c>
      <c r="Y453">
        <v>3.6460332834509659</v>
      </c>
      <c r="Z453">
        <v>9446.4431309523789</v>
      </c>
      <c r="AA453">
        <v>2434.6406857864349</v>
      </c>
    </row>
    <row r="454" spans="1:27" hidden="1">
      <c r="A454">
        <v>25</v>
      </c>
      <c r="B454">
        <v>0</v>
      </c>
      <c r="C454">
        <v>28.303850000000001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72.634794137497721</v>
      </c>
      <c r="M454">
        <v>54.88</v>
      </c>
      <c r="N454">
        <v>214.04</v>
      </c>
      <c r="O454">
        <v>0.26</v>
      </c>
      <c r="P454">
        <v>59.83</v>
      </c>
      <c r="Q454">
        <v>27.565284310511281</v>
      </c>
      <c r="R454">
        <v>0.22</v>
      </c>
      <c r="S454">
        <v>31.67</v>
      </c>
      <c r="T454">
        <v>9.67</v>
      </c>
      <c r="U454">
        <v>6.1254540678619618</v>
      </c>
      <c r="V454">
        <v>15.33552177646915</v>
      </c>
      <c r="W454">
        <v>58.13359991652009</v>
      </c>
      <c r="X454">
        <v>12.63001334776335</v>
      </c>
      <c r="Y454">
        <v>5.15918736548005</v>
      </c>
      <c r="Z454">
        <v>3136.0812671568629</v>
      </c>
      <c r="AA454">
        <v>1246.199808015873</v>
      </c>
    </row>
    <row r="455" spans="1:27" hidden="1">
      <c r="A455">
        <v>30</v>
      </c>
      <c r="B455">
        <v>0</v>
      </c>
      <c r="C455">
        <v>24.444445000000002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81.601966763912401</v>
      </c>
      <c r="M455">
        <v>2424.15</v>
      </c>
      <c r="N455">
        <v>456.01</v>
      </c>
      <c r="O455">
        <v>5.32</v>
      </c>
      <c r="P455">
        <v>130.97999999999999</v>
      </c>
      <c r="Q455">
        <v>67.866853825693909</v>
      </c>
      <c r="R455">
        <v>0.16</v>
      </c>
      <c r="S455">
        <v>24.37</v>
      </c>
      <c r="T455">
        <v>32.28</v>
      </c>
      <c r="U455">
        <v>5.7441470660346514</v>
      </c>
      <c r="V455">
        <v>15.352147581950209</v>
      </c>
      <c r="W455">
        <v>51.192717370479087</v>
      </c>
      <c r="X455">
        <v>10.7080303030303</v>
      </c>
      <c r="Y455">
        <v>4.7940419292169656</v>
      </c>
      <c r="Z455">
        <v>9438.889464285714</v>
      </c>
      <c r="AA455">
        <v>2419.6210786435781</v>
      </c>
    </row>
    <row r="456" spans="1:27" hidden="1">
      <c r="A456">
        <v>35</v>
      </c>
      <c r="B456">
        <v>1</v>
      </c>
      <c r="C456">
        <v>21.718064999999999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81.993074697645355</v>
      </c>
      <c r="M456">
        <v>1372.76</v>
      </c>
      <c r="N456">
        <v>233.35</v>
      </c>
      <c r="O456">
        <v>5.88</v>
      </c>
      <c r="P456">
        <v>93.47</v>
      </c>
      <c r="Q456">
        <v>76.258520517037397</v>
      </c>
      <c r="R456">
        <v>1.41</v>
      </c>
      <c r="S456">
        <v>23.38</v>
      </c>
      <c r="T456">
        <v>26.19</v>
      </c>
      <c r="U456">
        <v>3.8080708858266048</v>
      </c>
      <c r="V456">
        <v>15.54556564492855</v>
      </c>
      <c r="W456">
        <v>45.562482540120442</v>
      </c>
      <c r="X456">
        <v>8.2128732385618797</v>
      </c>
      <c r="Y456">
        <v>2.274387036723561</v>
      </c>
      <c r="Z456">
        <v>7892.8898571428563</v>
      </c>
      <c r="AA456">
        <v>2572.7964957546901</v>
      </c>
    </row>
    <row r="457" spans="1:27" hidden="1">
      <c r="A457">
        <v>28</v>
      </c>
      <c r="B457">
        <v>0</v>
      </c>
      <c r="C457">
        <v>26.502116999999998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80.375987373737374</v>
      </c>
      <c r="M457">
        <v>143.05000000000001</v>
      </c>
      <c r="N457">
        <v>50.09</v>
      </c>
      <c r="O457">
        <v>2.86</v>
      </c>
      <c r="P457">
        <v>49.66</v>
      </c>
      <c r="Q457">
        <v>62.57927053494528</v>
      </c>
      <c r="R457">
        <v>0.43</v>
      </c>
      <c r="S457">
        <v>33.11</v>
      </c>
      <c r="T457">
        <v>7.34</v>
      </c>
      <c r="U457">
        <v>4.9647065098644054</v>
      </c>
      <c r="V457">
        <v>14.511175894281161</v>
      </c>
      <c r="W457">
        <v>59.293575765307878</v>
      </c>
      <c r="X457">
        <v>10.914684149184151</v>
      </c>
      <c r="Y457">
        <v>2.7880314234200059</v>
      </c>
      <c r="Z457">
        <v>2416.5414554334552</v>
      </c>
      <c r="AA457">
        <v>1711.161564713065</v>
      </c>
    </row>
    <row r="458" spans="1:27" hidden="1">
      <c r="A458">
        <v>34</v>
      </c>
      <c r="B458">
        <v>0</v>
      </c>
      <c r="C458">
        <v>18.314257000000001</v>
      </c>
      <c r="D458">
        <v>0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80.600225829725829</v>
      </c>
      <c r="M458">
        <v>1372.76</v>
      </c>
      <c r="N458">
        <v>233.35</v>
      </c>
      <c r="O458">
        <v>5.88</v>
      </c>
      <c r="P458">
        <v>93.47</v>
      </c>
      <c r="Q458">
        <v>75.96187542039084</v>
      </c>
      <c r="R458">
        <v>1.41</v>
      </c>
      <c r="S458">
        <v>23.38</v>
      </c>
      <c r="T458">
        <v>26.19</v>
      </c>
      <c r="U458">
        <v>13.36655028631499</v>
      </c>
      <c r="V458">
        <v>31.34337950937951</v>
      </c>
      <c r="W458">
        <v>58.577103881684003</v>
      </c>
      <c r="X458">
        <v>23.689205128205149</v>
      </c>
      <c r="Y458">
        <v>21.0614652014652</v>
      </c>
      <c r="Z458">
        <v>7757.875607142857</v>
      </c>
      <c r="AA458">
        <v>2567.1993145714282</v>
      </c>
    </row>
    <row r="459" spans="1:27" hidden="1">
      <c r="A459">
        <v>45</v>
      </c>
      <c r="B459">
        <v>0</v>
      </c>
      <c r="C459">
        <v>20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65.652009230817626</v>
      </c>
      <c r="M459">
        <v>276.94</v>
      </c>
      <c r="N459">
        <v>520.41999999999996</v>
      </c>
      <c r="O459">
        <v>0.53</v>
      </c>
      <c r="P459">
        <v>104.6</v>
      </c>
      <c r="Q459">
        <v>31.415409875595259</v>
      </c>
      <c r="R459">
        <v>0.14000000000000001</v>
      </c>
      <c r="S459">
        <v>31.6</v>
      </c>
      <c r="T459">
        <v>6.62</v>
      </c>
      <c r="U459">
        <v>5.1717174316198724</v>
      </c>
      <c r="V459">
        <v>16.612942258721681</v>
      </c>
      <c r="W459">
        <v>58.145950680272108</v>
      </c>
      <c r="X459">
        <v>9.4535968475968453</v>
      </c>
      <c r="Y459">
        <v>4.5233129066055904</v>
      </c>
      <c r="Z459">
        <v>4790.2574365079372</v>
      </c>
      <c r="AA459">
        <v>2170.0941818261181</v>
      </c>
    </row>
    <row r="460" spans="1:27" hidden="1">
      <c r="A460">
        <v>41</v>
      </c>
      <c r="B460">
        <v>0</v>
      </c>
      <c r="C460">
        <v>25.711008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71.843838614397441</v>
      </c>
      <c r="M460">
        <v>79.41</v>
      </c>
      <c r="N460">
        <v>175.47</v>
      </c>
      <c r="O460">
        <v>0.45</v>
      </c>
      <c r="P460">
        <v>56.34</v>
      </c>
      <c r="Q460">
        <v>28.630439408070711</v>
      </c>
      <c r="R460">
        <v>0.2</v>
      </c>
      <c r="S460">
        <v>25.32</v>
      </c>
      <c r="T460">
        <v>14.84</v>
      </c>
      <c r="U460">
        <v>5.1494974966553899</v>
      </c>
      <c r="V460">
        <v>13.83454720104457</v>
      </c>
      <c r="W460">
        <v>49.975150211926959</v>
      </c>
      <c r="X460">
        <v>11.151865079365081</v>
      </c>
      <c r="Y460">
        <v>3.1359870566310191</v>
      </c>
      <c r="Z460">
        <v>3200.162231081827</v>
      </c>
      <c r="AA460">
        <v>1511.989152930403</v>
      </c>
    </row>
    <row r="461" spans="1:27" hidden="1">
      <c r="A461">
        <v>48</v>
      </c>
      <c r="B461">
        <v>0</v>
      </c>
      <c r="C461">
        <v>21.077196000000001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63.068106541606539</v>
      </c>
      <c r="M461">
        <v>144.04</v>
      </c>
      <c r="N461">
        <v>182.1</v>
      </c>
      <c r="O461">
        <v>0.79</v>
      </c>
      <c r="P461">
        <v>70.64</v>
      </c>
      <c r="Q461">
        <v>39.207994176521687</v>
      </c>
      <c r="R461">
        <v>0.27</v>
      </c>
      <c r="S461">
        <v>27.72</v>
      </c>
      <c r="T461">
        <v>3.9</v>
      </c>
      <c r="U461">
        <v>7.0698732424756807</v>
      </c>
      <c r="V461">
        <v>15.55365104340105</v>
      </c>
      <c r="W461">
        <v>53.800050809684052</v>
      </c>
      <c r="X461">
        <v>11.25146031746031</v>
      </c>
      <c r="Y461">
        <v>5.5626665556665538</v>
      </c>
      <c r="Z461">
        <v>4259.802150793651</v>
      </c>
      <c r="AA461">
        <v>2139.3440970256402</v>
      </c>
    </row>
    <row r="462" spans="1:27" hidden="1">
      <c r="A462">
        <v>44</v>
      </c>
      <c r="B462">
        <v>0</v>
      </c>
      <c r="C462">
        <v>20.715693999999999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64.202426626021136</v>
      </c>
      <c r="M462">
        <v>112.34</v>
      </c>
      <c r="N462">
        <v>171.65</v>
      </c>
      <c r="O462">
        <v>0.65</v>
      </c>
      <c r="P462">
        <v>57.03</v>
      </c>
      <c r="Q462">
        <v>36.126227801892107</v>
      </c>
      <c r="R462">
        <v>0.88</v>
      </c>
      <c r="S462">
        <v>28.69</v>
      </c>
      <c r="T462">
        <v>6.41</v>
      </c>
      <c r="U462">
        <v>4.3632286388791819</v>
      </c>
      <c r="V462">
        <v>10.748853796857061</v>
      </c>
      <c r="W462">
        <v>46.17658822419164</v>
      </c>
      <c r="X462">
        <v>3.981501125078283</v>
      </c>
      <c r="Y462">
        <v>4.2568900331827146</v>
      </c>
      <c r="Z462">
        <v>2879.856451982228</v>
      </c>
      <c r="AA462">
        <v>1814.463975664891</v>
      </c>
    </row>
    <row r="463" spans="1:27" hidden="1">
      <c r="A463">
        <v>54</v>
      </c>
      <c r="B463">
        <v>0</v>
      </c>
      <c r="C463">
        <v>22.494986999999998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64.67739026997441</v>
      </c>
      <c r="M463">
        <v>62.54</v>
      </c>
      <c r="N463">
        <v>76.790000000000006</v>
      </c>
      <c r="O463">
        <v>0.81</v>
      </c>
      <c r="P463">
        <v>50.91</v>
      </c>
      <c r="Q463">
        <v>32.992379269422273</v>
      </c>
      <c r="R463">
        <v>0.38</v>
      </c>
      <c r="S463">
        <v>31.44</v>
      </c>
      <c r="T463">
        <v>5.57</v>
      </c>
      <c r="U463">
        <v>8.0334004884004919</v>
      </c>
      <c r="V463">
        <v>24.70050775219346</v>
      </c>
      <c r="W463">
        <v>62.170674473189507</v>
      </c>
      <c r="X463">
        <v>14.13939718460934</v>
      </c>
      <c r="Y463">
        <v>13.115764790764789</v>
      </c>
      <c r="Z463">
        <v>2198.2531135531131</v>
      </c>
      <c r="AA463">
        <v>1300.7633701298701</v>
      </c>
    </row>
    <row r="464" spans="1:27" hidden="1">
      <c r="A464">
        <v>61</v>
      </c>
      <c r="B464">
        <v>0</v>
      </c>
      <c r="C464">
        <v>25.806452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66.79129280904283</v>
      </c>
      <c r="M464">
        <v>6.48</v>
      </c>
      <c r="N464">
        <v>22.35</v>
      </c>
      <c r="O464">
        <v>0.28999999999999998</v>
      </c>
      <c r="P464">
        <v>51.17</v>
      </c>
      <c r="Q464">
        <v>53.871806899224801</v>
      </c>
      <c r="R464">
        <v>1.27</v>
      </c>
      <c r="S464">
        <v>29.94</v>
      </c>
      <c r="T464">
        <v>2.96</v>
      </c>
      <c r="U464">
        <v>4.7995305274219042</v>
      </c>
      <c r="V464">
        <v>16.958357535767579</v>
      </c>
      <c r="W464">
        <v>58.520521514926138</v>
      </c>
      <c r="X464">
        <v>8.5154940743512881</v>
      </c>
      <c r="Y464">
        <v>7.4717223424723462</v>
      </c>
      <c r="Z464">
        <v>1659.4554488705739</v>
      </c>
      <c r="AA464">
        <v>1089.6076381673879</v>
      </c>
    </row>
    <row r="465" spans="1:27" hidden="1">
      <c r="A465">
        <v>58</v>
      </c>
      <c r="B465">
        <v>0</v>
      </c>
      <c r="C465">
        <v>21.773841999999998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81.618230378778676</v>
      </c>
      <c r="M465">
        <v>7.94</v>
      </c>
      <c r="N465">
        <v>2.83</v>
      </c>
      <c r="O465">
        <v>2.8</v>
      </c>
      <c r="P465">
        <v>14.14</v>
      </c>
      <c r="Q465">
        <v>61.012900867922347</v>
      </c>
      <c r="R465">
        <v>0.21</v>
      </c>
      <c r="S465">
        <v>23.43</v>
      </c>
      <c r="T465">
        <v>1.96</v>
      </c>
      <c r="U465">
        <v>6.8617537330174807</v>
      </c>
      <c r="V465">
        <v>14.35892415917416</v>
      </c>
      <c r="W465">
        <v>55.72872685826718</v>
      </c>
      <c r="X465">
        <v>13.947065751499959</v>
      </c>
      <c r="Y465">
        <v>8.4917377344877369</v>
      </c>
      <c r="Z465">
        <v>378.55235714285709</v>
      </c>
      <c r="AA465">
        <v>162.72623153235659</v>
      </c>
    </row>
    <row r="466" spans="1:27" hidden="1">
      <c r="A466">
        <v>37</v>
      </c>
      <c r="B466">
        <v>0</v>
      </c>
      <c r="C466">
        <v>25.631167999999999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75.890599242941491</v>
      </c>
      <c r="M466">
        <v>31.87</v>
      </c>
      <c r="N466">
        <v>164.36</v>
      </c>
      <c r="O466">
        <v>0.19</v>
      </c>
      <c r="P466">
        <v>48.43</v>
      </c>
      <c r="Q466">
        <v>28.434849944758771</v>
      </c>
      <c r="R466">
        <v>0.28000000000000003</v>
      </c>
      <c r="S466">
        <v>32.520000000000003</v>
      </c>
      <c r="T466">
        <v>9.36</v>
      </c>
      <c r="U466">
        <v>7.8563140988415388</v>
      </c>
      <c r="V466">
        <v>14.82423685203686</v>
      </c>
      <c r="W466">
        <v>61.504447911915513</v>
      </c>
      <c r="X466">
        <v>11.791136363636371</v>
      </c>
      <c r="Y466">
        <v>5.5984256133432977</v>
      </c>
      <c r="Z466">
        <v>2505.227253996004</v>
      </c>
      <c r="AA466">
        <v>1110.405844488844</v>
      </c>
    </row>
    <row r="467" spans="1:27" hidden="1">
      <c r="A467">
        <v>54</v>
      </c>
      <c r="B467">
        <v>0</v>
      </c>
      <c r="C467">
        <v>28.857686999999999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89.075905483405492</v>
      </c>
      <c r="M467">
        <v>5.69</v>
      </c>
      <c r="N467">
        <v>2.46</v>
      </c>
      <c r="O467">
        <v>2.31</v>
      </c>
      <c r="P467">
        <v>13.32</v>
      </c>
      <c r="Q467">
        <v>59.863727686456279</v>
      </c>
      <c r="R467">
        <v>0.19</v>
      </c>
      <c r="S467">
        <v>33.71</v>
      </c>
      <c r="T467">
        <v>1.51</v>
      </c>
      <c r="U467">
        <v>7.8611555070746242</v>
      </c>
      <c r="V467">
        <v>14.627510822510819</v>
      </c>
      <c r="W467">
        <v>63.868539078039078</v>
      </c>
      <c r="X467">
        <v>15.095840836940839</v>
      </c>
      <c r="Y467">
        <v>8.7126818043068059</v>
      </c>
      <c r="Z467">
        <v>317.0844087301586</v>
      </c>
      <c r="AA467">
        <v>73.407123015872997</v>
      </c>
    </row>
    <row r="468" spans="1:27" hidden="1">
      <c r="A468">
        <v>41</v>
      </c>
      <c r="B468">
        <v>0</v>
      </c>
      <c r="C468">
        <v>20.690494999999999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77.193689226623022</v>
      </c>
      <c r="M468">
        <v>1222.57</v>
      </c>
      <c r="N468">
        <v>1281.3699999999999</v>
      </c>
      <c r="O468">
        <v>0.95</v>
      </c>
      <c r="P468">
        <v>158.51</v>
      </c>
      <c r="Q468">
        <v>36.010651527046051</v>
      </c>
      <c r="R468">
        <v>1.04</v>
      </c>
      <c r="S468">
        <v>23.39</v>
      </c>
      <c r="T468">
        <v>31.52</v>
      </c>
      <c r="U468">
        <v>3.8645715756252841</v>
      </c>
      <c r="V468">
        <v>14.32907528746307</v>
      </c>
      <c r="W468">
        <v>51.615262827419343</v>
      </c>
      <c r="X468">
        <v>3.6418847764291309</v>
      </c>
      <c r="Y468">
        <v>3.0725021283382259</v>
      </c>
      <c r="Z468">
        <v>8939.1560634920625</v>
      </c>
      <c r="AA468">
        <v>2148.6544033737368</v>
      </c>
    </row>
    <row r="469" spans="1:27" hidden="1">
      <c r="A469">
        <v>45</v>
      </c>
      <c r="B469">
        <v>0</v>
      </c>
      <c r="C469">
        <v>18.403320000000001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68.507626247204527</v>
      </c>
      <c r="M469">
        <v>32.31</v>
      </c>
      <c r="N469">
        <v>66.989999999999995</v>
      </c>
      <c r="O469">
        <v>0.48</v>
      </c>
      <c r="P469">
        <v>42.26</v>
      </c>
      <c r="Q469">
        <v>31.141067383395079</v>
      </c>
      <c r="R469">
        <v>0.27</v>
      </c>
      <c r="S469">
        <v>28.38</v>
      </c>
      <c r="T469">
        <v>5.66</v>
      </c>
      <c r="U469">
        <v>6.1580414030414037</v>
      </c>
      <c r="V469">
        <v>12.07960171591693</v>
      </c>
      <c r="W469">
        <v>53.150052870463838</v>
      </c>
      <c r="X469">
        <v>10.52860461760462</v>
      </c>
      <c r="Y469">
        <v>3.4829452667215821</v>
      </c>
      <c r="Z469">
        <v>1875.3017974813849</v>
      </c>
      <c r="AA469">
        <v>1068.761800477301</v>
      </c>
    </row>
    <row r="470" spans="1:27" hidden="1">
      <c r="A470">
        <v>46</v>
      </c>
      <c r="B470">
        <v>0</v>
      </c>
      <c r="C470">
        <v>19.473406000000001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82.972079914047299</v>
      </c>
      <c r="M470">
        <v>14.06</v>
      </c>
      <c r="N470">
        <v>21.12</v>
      </c>
      <c r="O470">
        <v>0.67</v>
      </c>
      <c r="P470">
        <v>21</v>
      </c>
      <c r="Q470">
        <v>53.563057335342258</v>
      </c>
      <c r="R470">
        <v>0.57999999999999996</v>
      </c>
      <c r="S470">
        <v>31.23</v>
      </c>
      <c r="T470">
        <v>3.22</v>
      </c>
      <c r="U470">
        <v>6.3084873394149712</v>
      </c>
      <c r="V470">
        <v>11.31510386933328</v>
      </c>
      <c r="W470">
        <v>55.023729991391477</v>
      </c>
      <c r="X470">
        <v>11.837632634616851</v>
      </c>
      <c r="Y470">
        <v>8.1114788822288837</v>
      </c>
      <c r="Z470">
        <v>496.32857778169551</v>
      </c>
      <c r="AA470">
        <v>253.063523948274</v>
      </c>
    </row>
    <row r="471" spans="1:27" hidden="1">
      <c r="A471">
        <v>45</v>
      </c>
      <c r="B471">
        <v>1</v>
      </c>
      <c r="C471">
        <v>26.892323000000001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78.514810521178163</v>
      </c>
      <c r="M471">
        <v>77.55</v>
      </c>
      <c r="N471">
        <v>9.57</v>
      </c>
      <c r="O471">
        <v>8.1</v>
      </c>
      <c r="P471">
        <v>22.72</v>
      </c>
      <c r="Q471">
        <v>76.84069569500592</v>
      </c>
      <c r="R471">
        <v>0.3</v>
      </c>
      <c r="S471">
        <v>31.04</v>
      </c>
      <c r="T471">
        <v>8.5399999999999991</v>
      </c>
      <c r="U471">
        <v>4.983616137955611</v>
      </c>
      <c r="V471">
        <v>17.455623376623389</v>
      </c>
      <c r="W471">
        <v>54.974421503158339</v>
      </c>
      <c r="X471">
        <v>9.2766601731601739</v>
      </c>
      <c r="Y471">
        <v>3.5003601712614878</v>
      </c>
      <c r="Z471">
        <v>742.86531075570178</v>
      </c>
      <c r="AA471">
        <v>313.98026587301581</v>
      </c>
    </row>
    <row r="472" spans="1:27" hidden="1">
      <c r="A472">
        <v>49</v>
      </c>
      <c r="B472">
        <v>1</v>
      </c>
      <c r="C472">
        <v>20.415223999999998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77.313435136747174</v>
      </c>
      <c r="M472">
        <v>580.20000000000005</v>
      </c>
      <c r="N472">
        <v>616.75</v>
      </c>
      <c r="O472">
        <v>0.94</v>
      </c>
      <c r="P472">
        <v>287.33</v>
      </c>
      <c r="Q472">
        <v>48.328375602097402</v>
      </c>
      <c r="R472">
        <v>0.53</v>
      </c>
      <c r="S472">
        <v>24.34</v>
      </c>
      <c r="T472">
        <v>39.659999999999997</v>
      </c>
      <c r="U472">
        <v>4.9708106889455577</v>
      </c>
      <c r="V472">
        <v>12.246197694897701</v>
      </c>
      <c r="W472">
        <v>52.47496281916149</v>
      </c>
      <c r="X472">
        <v>8.74818363088729</v>
      </c>
      <c r="Y472">
        <v>2.342450471484141</v>
      </c>
      <c r="Z472">
        <v>10526.944067460319</v>
      </c>
      <c r="AA472">
        <v>6131.7102832467554</v>
      </c>
    </row>
    <row r="473" spans="1:27" hidden="1">
      <c r="A473">
        <v>65</v>
      </c>
      <c r="B473">
        <v>1</v>
      </c>
      <c r="C473">
        <v>24.237024000000002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60.980746212121232</v>
      </c>
      <c r="M473">
        <v>118.21</v>
      </c>
      <c r="N473">
        <v>173.32</v>
      </c>
      <c r="O473">
        <v>0.68</v>
      </c>
      <c r="P473">
        <v>59.24</v>
      </c>
      <c r="Q473">
        <v>35.860013029466927</v>
      </c>
      <c r="R473">
        <v>0.17</v>
      </c>
      <c r="S473">
        <v>31.71</v>
      </c>
      <c r="T473">
        <v>3.34</v>
      </c>
      <c r="U473">
        <v>5.1655104323780803</v>
      </c>
      <c r="V473">
        <v>16.858506444535859</v>
      </c>
      <c r="W473">
        <v>70.324194444444416</v>
      </c>
      <c r="X473">
        <v>10.52176046176046</v>
      </c>
      <c r="Y473">
        <v>2.7838348590194939</v>
      </c>
      <c r="Z473">
        <v>3344.9793708725911</v>
      </c>
      <c r="AA473">
        <v>1925.1095630335781</v>
      </c>
    </row>
    <row r="474" spans="1:27" hidden="1">
      <c r="A474">
        <v>61</v>
      </c>
      <c r="B474">
        <v>1</v>
      </c>
      <c r="C474">
        <v>26.332640000000001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77.261629084967296</v>
      </c>
      <c r="M474">
        <v>32.369999999999997</v>
      </c>
      <c r="N474">
        <v>7.77</v>
      </c>
      <c r="O474">
        <v>4.17</v>
      </c>
      <c r="P474">
        <v>24.42</v>
      </c>
      <c r="Q474">
        <v>59.36524128413739</v>
      </c>
      <c r="R474">
        <v>0.39</v>
      </c>
      <c r="S474">
        <v>33.51</v>
      </c>
      <c r="T474">
        <v>2.5499999999999998</v>
      </c>
      <c r="U474">
        <v>5.0188136045241301</v>
      </c>
      <c r="V474">
        <v>12.967722222222219</v>
      </c>
      <c r="W474">
        <v>68.723480158730197</v>
      </c>
      <c r="X474">
        <v>10.25875197025197</v>
      </c>
      <c r="Y474">
        <v>4.8482629731379721</v>
      </c>
      <c r="Z474">
        <v>609.82196430831868</v>
      </c>
      <c r="AA474">
        <v>443.46499472749491</v>
      </c>
    </row>
    <row r="475" spans="1:27" hidden="1">
      <c r="A475">
        <v>49</v>
      </c>
      <c r="B475">
        <v>1</v>
      </c>
      <c r="C475">
        <v>20.549886999999998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77.304500824835856</v>
      </c>
      <c r="M475">
        <v>17.690000000000001</v>
      </c>
      <c r="N475">
        <v>13.44</v>
      </c>
      <c r="O475">
        <v>1.32</v>
      </c>
      <c r="P475">
        <v>23.51</v>
      </c>
      <c r="Q475">
        <v>53.232023616839271</v>
      </c>
      <c r="R475">
        <v>0.39</v>
      </c>
      <c r="S475">
        <v>32.090000000000003</v>
      </c>
      <c r="T475">
        <v>4.2300000000000004</v>
      </c>
      <c r="U475">
        <v>6.9664671167386754</v>
      </c>
      <c r="V475">
        <v>15.67544239747181</v>
      </c>
      <c r="W475">
        <v>64.113957651529105</v>
      </c>
      <c r="X475">
        <v>12.582838695222909</v>
      </c>
      <c r="Y475">
        <v>7.0980129731379744</v>
      </c>
      <c r="Z475">
        <v>612.17759168396242</v>
      </c>
      <c r="AA475">
        <v>437.45399472749489</v>
      </c>
    </row>
    <row r="476" spans="1:27" hidden="1">
      <c r="A476">
        <v>45</v>
      </c>
      <c r="B476">
        <v>1</v>
      </c>
      <c r="C476">
        <v>27.681661999999999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79.294838298955952</v>
      </c>
      <c r="M476">
        <v>12.72</v>
      </c>
      <c r="N476">
        <v>10.94</v>
      </c>
      <c r="O476">
        <v>1.1599999999999999</v>
      </c>
      <c r="P476">
        <v>24.38</v>
      </c>
      <c r="Q476">
        <v>54.254011970594263</v>
      </c>
      <c r="R476">
        <v>0.45</v>
      </c>
      <c r="S476">
        <v>32.630000000000003</v>
      </c>
      <c r="T476">
        <v>4.45</v>
      </c>
      <c r="U476">
        <v>6.9985461830971527</v>
      </c>
      <c r="V476">
        <v>12.96445582848524</v>
      </c>
      <c r="W476">
        <v>62.412251680251671</v>
      </c>
      <c r="X476">
        <v>12.27088645857067</v>
      </c>
      <c r="Y476">
        <v>7.1913679995930009</v>
      </c>
      <c r="Z476">
        <v>611.13432568607141</v>
      </c>
      <c r="AA476">
        <v>436.06474472749483</v>
      </c>
    </row>
    <row r="477" spans="1:27" hidden="1">
      <c r="A477">
        <v>56</v>
      </c>
      <c r="B477">
        <v>1</v>
      </c>
      <c r="C477">
        <v>33.02946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65.15867496392498</v>
      </c>
      <c r="M477">
        <v>25.2</v>
      </c>
      <c r="N477">
        <v>70.569999999999993</v>
      </c>
      <c r="O477">
        <v>0.36</v>
      </c>
      <c r="P477">
        <v>31.84</v>
      </c>
      <c r="Q477">
        <v>32.280829946166953</v>
      </c>
      <c r="R477">
        <v>0.56000000000000005</v>
      </c>
      <c r="S477">
        <v>31.33</v>
      </c>
      <c r="T477">
        <v>4.13</v>
      </c>
      <c r="U477">
        <v>4.3727527472527461</v>
      </c>
      <c r="V477">
        <v>12.081654211730299</v>
      </c>
      <c r="W477">
        <v>46.210358668115447</v>
      </c>
      <c r="X477">
        <v>8.2985753968253952</v>
      </c>
      <c r="Y477">
        <v>2.944839586339588</v>
      </c>
      <c r="Z477">
        <v>952.02195538087631</v>
      </c>
      <c r="AA477">
        <v>579.57526737174896</v>
      </c>
    </row>
    <row r="478" spans="1:27" hidden="1">
      <c r="A478">
        <v>49</v>
      </c>
      <c r="B478">
        <v>1</v>
      </c>
      <c r="C478">
        <v>23.738662999999999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64.297467074079506</v>
      </c>
      <c r="M478">
        <v>498.63</v>
      </c>
      <c r="N478">
        <v>138.54</v>
      </c>
      <c r="O478">
        <v>3.6</v>
      </c>
      <c r="P478">
        <v>70.459999999999994</v>
      </c>
      <c r="Q478">
        <v>73.719113098927707</v>
      </c>
      <c r="R478">
        <v>3.09</v>
      </c>
      <c r="S478">
        <v>30.62</v>
      </c>
      <c r="T478">
        <v>13.44</v>
      </c>
      <c r="U478">
        <v>1.485038410533295</v>
      </c>
      <c r="V478">
        <v>8.9338658424908441</v>
      </c>
      <c r="W478">
        <v>49.380073316256563</v>
      </c>
      <c r="X478">
        <v>7.2668385476390656</v>
      </c>
      <c r="Y478">
        <v>1.2744126106284239</v>
      </c>
      <c r="Z478">
        <v>4075.5151944444451</v>
      </c>
      <c r="AA478">
        <v>2198.7104806831499</v>
      </c>
    </row>
    <row r="479" spans="1:27" hidden="1">
      <c r="A479">
        <v>51</v>
      </c>
      <c r="B479">
        <v>1</v>
      </c>
      <c r="C479">
        <v>27.74475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72.750787157287135</v>
      </c>
      <c r="M479">
        <v>2.92</v>
      </c>
      <c r="N479">
        <v>32.299999999999997</v>
      </c>
      <c r="O479">
        <v>0.09</v>
      </c>
      <c r="P479">
        <v>25.77</v>
      </c>
      <c r="Q479">
        <v>48.967960241798629</v>
      </c>
      <c r="R479">
        <v>0.37</v>
      </c>
      <c r="S479">
        <v>27.78</v>
      </c>
      <c r="T479">
        <v>4.45</v>
      </c>
      <c r="U479">
        <v>6.7120089439718784</v>
      </c>
      <c r="V479">
        <v>15.173448117100291</v>
      </c>
      <c r="W479">
        <v>53.865814473716867</v>
      </c>
      <c r="X479">
        <v>11.793922172856391</v>
      </c>
      <c r="Y479">
        <v>7.310025432900435</v>
      </c>
      <c r="Z479">
        <v>690.58959172563686</v>
      </c>
      <c r="AA479">
        <v>457.35671039716198</v>
      </c>
    </row>
    <row r="480" spans="1:27" hidden="1">
      <c r="A480">
        <v>41</v>
      </c>
      <c r="B480">
        <v>0</v>
      </c>
      <c r="C480">
        <v>22.232013999999999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73.371144780942856</v>
      </c>
      <c r="M480">
        <v>287.92</v>
      </c>
      <c r="N480">
        <v>136.83000000000001</v>
      </c>
      <c r="O480">
        <v>2.1</v>
      </c>
      <c r="P480">
        <v>56.66</v>
      </c>
      <c r="Q480">
        <v>58.279200575833713</v>
      </c>
      <c r="R480">
        <v>0.32</v>
      </c>
      <c r="S480">
        <v>31.34</v>
      </c>
      <c r="T480">
        <v>6.66</v>
      </c>
      <c r="U480">
        <v>6.0057854593523707</v>
      </c>
      <c r="V480">
        <v>14.97006923525392</v>
      </c>
      <c r="W480">
        <v>60.045014515724112</v>
      </c>
      <c r="X480">
        <v>10.81380627705628</v>
      </c>
      <c r="Y480">
        <v>4.6571171579098412</v>
      </c>
      <c r="Z480">
        <v>3424.614128049624</v>
      </c>
      <c r="AA480">
        <v>2032.490687564102</v>
      </c>
    </row>
    <row r="481" spans="1:27" hidden="1">
      <c r="A481">
        <v>53</v>
      </c>
      <c r="B481">
        <v>1</v>
      </c>
      <c r="C481">
        <v>26.989619999999999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64.5959207190227</v>
      </c>
      <c r="M481">
        <v>44.53</v>
      </c>
      <c r="N481">
        <v>101.79</v>
      </c>
      <c r="O481">
        <v>0.44</v>
      </c>
      <c r="P481">
        <v>38.4</v>
      </c>
      <c r="Q481">
        <v>31.594779565843019</v>
      </c>
      <c r="R481">
        <v>0.19</v>
      </c>
      <c r="S481">
        <v>32.08</v>
      </c>
      <c r="T481">
        <v>5.94</v>
      </c>
      <c r="U481">
        <v>4.3951111111111096</v>
      </c>
      <c r="V481">
        <v>15.647064787159421</v>
      </c>
      <c r="W481">
        <v>59.648289952361459</v>
      </c>
      <c r="X481">
        <v>9.5710847763347768</v>
      </c>
      <c r="Y481">
        <v>4.492663014830697</v>
      </c>
      <c r="Z481">
        <v>1555.306115079366</v>
      </c>
      <c r="AA481">
        <v>1046.172501415251</v>
      </c>
    </row>
    <row r="482" spans="1:27" hidden="1">
      <c r="A482">
        <v>35</v>
      </c>
      <c r="B482">
        <v>1</v>
      </c>
      <c r="C482">
        <v>23.781213999999999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81.955727064602087</v>
      </c>
      <c r="M482">
        <v>340.76</v>
      </c>
      <c r="N482">
        <v>25.34</v>
      </c>
      <c r="O482">
        <v>13.45</v>
      </c>
      <c r="P482">
        <v>49.52</v>
      </c>
      <c r="Q482">
        <v>82.762895663080982</v>
      </c>
      <c r="R482">
        <v>1.05</v>
      </c>
      <c r="S482">
        <v>30.91</v>
      </c>
      <c r="T482">
        <v>10.31</v>
      </c>
      <c r="U482">
        <v>3.977078254404022</v>
      </c>
      <c r="V482">
        <v>15.532480108392891</v>
      </c>
      <c r="W482">
        <v>50.574869603947469</v>
      </c>
      <c r="X482">
        <v>3.8548955668359839</v>
      </c>
      <c r="Y482">
        <v>2.801979695076092</v>
      </c>
      <c r="Z482">
        <v>2107.686147283272</v>
      </c>
      <c r="AA482">
        <v>1328.654908730158</v>
      </c>
    </row>
    <row r="483" spans="1:27" hidden="1">
      <c r="A483">
        <v>42</v>
      </c>
      <c r="B483">
        <v>1</v>
      </c>
      <c r="C483">
        <v>34.527090000000001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81.768537719633301</v>
      </c>
      <c r="M483">
        <v>21.93</v>
      </c>
      <c r="N483">
        <v>9.08</v>
      </c>
      <c r="O483">
        <v>2.42</v>
      </c>
      <c r="P483">
        <v>20.48</v>
      </c>
      <c r="Q483">
        <v>55.723710649788892</v>
      </c>
      <c r="R483">
        <v>0.36</v>
      </c>
      <c r="S483">
        <v>31.42</v>
      </c>
      <c r="T483">
        <v>2.86</v>
      </c>
      <c r="U483">
        <v>5.4514586648731367</v>
      </c>
      <c r="V483">
        <v>11.36920777098719</v>
      </c>
      <c r="W483">
        <v>58.921376837501832</v>
      </c>
      <c r="X483">
        <v>10.166780663780671</v>
      </c>
      <c r="Y483">
        <v>5.051398507924822</v>
      </c>
      <c r="Z483">
        <v>383.88013961038962</v>
      </c>
      <c r="AA483">
        <v>249.33672218059709</v>
      </c>
    </row>
    <row r="484" spans="1:27" hidden="1">
      <c r="A484">
        <v>25</v>
      </c>
      <c r="B484">
        <v>1</v>
      </c>
      <c r="C484">
        <v>18.426535000000001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70.444770900696113</v>
      </c>
      <c r="M484">
        <v>2718.48</v>
      </c>
      <c r="N484">
        <v>1974.53</v>
      </c>
      <c r="O484">
        <v>1.38</v>
      </c>
      <c r="P484">
        <v>199.14</v>
      </c>
      <c r="Q484">
        <v>31.674872119022819</v>
      </c>
      <c r="R484">
        <v>0.81</v>
      </c>
      <c r="S484">
        <v>28.77</v>
      </c>
      <c r="T484">
        <v>20.45</v>
      </c>
      <c r="U484">
        <v>3.811990596963422</v>
      </c>
      <c r="V484">
        <v>7.5779921295550343</v>
      </c>
      <c r="W484">
        <v>43.538868477676438</v>
      </c>
      <c r="X484">
        <v>6.7786539622544684</v>
      </c>
      <c r="Y484">
        <v>1.694081686445539</v>
      </c>
      <c r="Z484">
        <v>12626.64863888889</v>
      </c>
      <c r="AA484">
        <v>2214.4526432467519</v>
      </c>
    </row>
    <row r="485" spans="1:27" hidden="1">
      <c r="A485">
        <v>39</v>
      </c>
      <c r="B485">
        <v>1</v>
      </c>
      <c r="C485">
        <v>33.893352999999998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64.854359811785045</v>
      </c>
      <c r="M485">
        <v>317.05</v>
      </c>
      <c r="N485">
        <v>799.7</v>
      </c>
      <c r="O485">
        <v>0.4</v>
      </c>
      <c r="P485">
        <v>99.86</v>
      </c>
      <c r="Q485">
        <v>30.813945854515779</v>
      </c>
      <c r="R485">
        <v>1.2</v>
      </c>
      <c r="S485">
        <v>29.64</v>
      </c>
      <c r="T485">
        <v>7.92</v>
      </c>
      <c r="U485">
        <v>3.0644841777290628</v>
      </c>
      <c r="V485">
        <v>15.6848419795996</v>
      </c>
      <c r="W485">
        <v>53.394658163661397</v>
      </c>
      <c r="X485">
        <v>3.020152340210621</v>
      </c>
      <c r="Y485">
        <v>1.8114871520864071</v>
      </c>
      <c r="Z485">
        <v>4429.6694722222228</v>
      </c>
      <c r="AA485">
        <v>2270.2934877229441</v>
      </c>
    </row>
    <row r="486" spans="1:27" hidden="1">
      <c r="A486">
        <v>39</v>
      </c>
      <c r="B486">
        <v>1</v>
      </c>
      <c r="C486">
        <v>22.530864999999999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71.123012537771842</v>
      </c>
      <c r="M486">
        <v>125.87</v>
      </c>
      <c r="N486">
        <v>262.2</v>
      </c>
      <c r="O486">
        <v>0.48</v>
      </c>
      <c r="P486">
        <v>57.66</v>
      </c>
      <c r="Q486">
        <v>30.814455339348811</v>
      </c>
      <c r="R486">
        <v>0.49</v>
      </c>
      <c r="S486">
        <v>31.16</v>
      </c>
      <c r="T486">
        <v>12.16</v>
      </c>
      <c r="U486">
        <v>5.3093507103276831</v>
      </c>
      <c r="V486">
        <v>14.800565627971441</v>
      </c>
      <c r="W486">
        <v>53.477236750525307</v>
      </c>
      <c r="X486">
        <v>8.3619195616232211</v>
      </c>
      <c r="Y486">
        <v>2.6634254144680982</v>
      </c>
      <c r="Z486">
        <v>2785.443360192482</v>
      </c>
      <c r="AA486">
        <v>1236.16249963925</v>
      </c>
    </row>
    <row r="487" spans="1:27" hidden="1">
      <c r="A487">
        <v>42</v>
      </c>
      <c r="B487">
        <v>1</v>
      </c>
      <c r="C487">
        <v>28.698979999999999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66.63840835971078</v>
      </c>
      <c r="M487">
        <v>161.81</v>
      </c>
      <c r="N487">
        <v>113.8</v>
      </c>
      <c r="O487">
        <v>1.42</v>
      </c>
      <c r="P487">
        <v>102.13</v>
      </c>
      <c r="Q487">
        <v>48.212939624355528</v>
      </c>
      <c r="R487">
        <v>0.45</v>
      </c>
      <c r="S487">
        <v>29.79</v>
      </c>
      <c r="T487">
        <v>12.07</v>
      </c>
      <c r="U487">
        <v>4.4637500859993144</v>
      </c>
      <c r="V487">
        <v>10.55472857016756</v>
      </c>
      <c r="W487">
        <v>46.832938161852653</v>
      </c>
      <c r="X487">
        <v>9.1856463903500511</v>
      </c>
      <c r="Y487">
        <v>2.007721694406329</v>
      </c>
      <c r="Z487">
        <v>4198.833043650794</v>
      </c>
      <c r="AA487">
        <v>2324.1330371057279</v>
      </c>
    </row>
    <row r="488" spans="1:27" hidden="1">
      <c r="A488">
        <v>56</v>
      </c>
      <c r="B488">
        <v>1</v>
      </c>
      <c r="C488">
        <v>24.382373999999999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78.598853590853565</v>
      </c>
      <c r="M488">
        <v>23.88</v>
      </c>
      <c r="N488">
        <v>2.72</v>
      </c>
      <c r="O488">
        <v>8.7899999999999991</v>
      </c>
      <c r="P488">
        <v>19.329999999999998</v>
      </c>
      <c r="Q488">
        <v>62.223358155777973</v>
      </c>
      <c r="R488">
        <v>1.1100000000000001</v>
      </c>
      <c r="S488">
        <v>31.4</v>
      </c>
      <c r="T488">
        <v>2.33</v>
      </c>
      <c r="U488">
        <v>3.6804798948845079</v>
      </c>
      <c r="V488">
        <v>12.49571610629623</v>
      </c>
      <c r="W488">
        <v>55.861931369302859</v>
      </c>
      <c r="X488">
        <v>2.9584657734420232</v>
      </c>
      <c r="Y488">
        <v>5.1000062239417483</v>
      </c>
      <c r="Z488">
        <v>373.54200932237688</v>
      </c>
      <c r="AA488">
        <v>253.11039822677321</v>
      </c>
    </row>
    <row r="489" spans="1:27" hidden="1">
      <c r="A489">
        <v>41</v>
      </c>
      <c r="B489">
        <v>1</v>
      </c>
      <c r="C489">
        <v>26.149277000000001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84.71793596681097</v>
      </c>
      <c r="M489">
        <v>19.309999999999999</v>
      </c>
      <c r="N489">
        <v>27.7</v>
      </c>
      <c r="O489">
        <v>0.7</v>
      </c>
      <c r="P489">
        <v>19.739999999999998</v>
      </c>
      <c r="Q489">
        <v>48.786254304600646</v>
      </c>
      <c r="R489">
        <v>0.37</v>
      </c>
      <c r="S489">
        <v>33.39</v>
      </c>
      <c r="T489">
        <v>3.63</v>
      </c>
      <c r="U489">
        <v>6.8144621514106829</v>
      </c>
      <c r="V489">
        <v>13.98913457606616</v>
      </c>
      <c r="W489">
        <v>64.022745066495077</v>
      </c>
      <c r="X489">
        <v>10.04609812409813</v>
      </c>
      <c r="Y489">
        <v>6.0278113985687529</v>
      </c>
      <c r="Z489">
        <v>390.24286111111098</v>
      </c>
      <c r="AA489">
        <v>243.9168181401931</v>
      </c>
    </row>
    <row r="490" spans="1:27" hidden="1">
      <c r="A490">
        <v>45</v>
      </c>
      <c r="B490">
        <v>1</v>
      </c>
      <c r="C490">
        <v>38.818717999999997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66.711087710084044</v>
      </c>
      <c r="M490">
        <v>103.74</v>
      </c>
      <c r="N490">
        <v>128.18</v>
      </c>
      <c r="O490">
        <v>0.81</v>
      </c>
      <c r="P490">
        <v>49.78</v>
      </c>
      <c r="Q490">
        <v>37.683722053882377</v>
      </c>
      <c r="R490">
        <v>0.18</v>
      </c>
      <c r="S490">
        <v>31.14</v>
      </c>
      <c r="T490">
        <v>7.12</v>
      </c>
      <c r="U490">
        <v>4.0221377538869794</v>
      </c>
      <c r="V490">
        <v>14.691269092019089</v>
      </c>
      <c r="W490">
        <v>55.521731666291323</v>
      </c>
      <c r="X490">
        <v>9.3327366522366511</v>
      </c>
      <c r="Y490">
        <v>2.163726488462848</v>
      </c>
      <c r="Z490">
        <v>2798.472386752137</v>
      </c>
      <c r="AA490">
        <v>1698.7955210622711</v>
      </c>
    </row>
    <row r="491" spans="1:27" hidden="1">
      <c r="A491">
        <v>27</v>
      </c>
      <c r="B491">
        <v>1</v>
      </c>
      <c r="C491">
        <v>23.233456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68.40738011020008</v>
      </c>
      <c r="M491">
        <v>293.67</v>
      </c>
      <c r="N491">
        <v>1085.6600000000001</v>
      </c>
      <c r="O491">
        <v>0.27</v>
      </c>
      <c r="P491">
        <v>148.80000000000001</v>
      </c>
      <c r="Q491">
        <v>27.416605635972338</v>
      </c>
      <c r="R491">
        <v>2.2200000000000002</v>
      </c>
      <c r="S491">
        <v>30.72</v>
      </c>
      <c r="T491">
        <v>23.44</v>
      </c>
      <c r="U491">
        <v>3.6498743382221628</v>
      </c>
      <c r="V491">
        <v>15.252266891604229</v>
      </c>
      <c r="W491">
        <v>55.448524988709387</v>
      </c>
      <c r="X491">
        <v>3.8223943044794062</v>
      </c>
      <c r="Y491">
        <v>3.193399885996282</v>
      </c>
      <c r="Z491">
        <v>5064.6042539682549</v>
      </c>
      <c r="AA491">
        <v>2101.4585245086578</v>
      </c>
    </row>
    <row r="492" spans="1:27" hidden="1">
      <c r="A492">
        <v>49</v>
      </c>
      <c r="B492">
        <v>1</v>
      </c>
      <c r="C492">
        <v>28.344671000000002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65.079863545263564</v>
      </c>
      <c r="M492">
        <v>1767.72</v>
      </c>
      <c r="N492">
        <v>297.38</v>
      </c>
      <c r="O492">
        <v>5.94</v>
      </c>
      <c r="P492">
        <v>116.47</v>
      </c>
      <c r="Q492">
        <v>70.414957425997287</v>
      </c>
      <c r="R492">
        <v>1.22</v>
      </c>
      <c r="S492">
        <v>29.03</v>
      </c>
      <c r="T492">
        <v>16.940000000000001</v>
      </c>
      <c r="U492">
        <v>3.19823753548242</v>
      </c>
      <c r="V492">
        <v>16.052466268466361</v>
      </c>
      <c r="W492">
        <v>44.315148074412647</v>
      </c>
      <c r="X492">
        <v>7.8832749127627562</v>
      </c>
      <c r="Y492">
        <v>3.3961565860742691</v>
      </c>
      <c r="Z492">
        <v>5181.5423293650792</v>
      </c>
      <c r="AA492">
        <v>2560.9443929213562</v>
      </c>
    </row>
    <row r="493" spans="1:27" hidden="1">
      <c r="A493">
        <v>20</v>
      </c>
      <c r="B493">
        <v>0</v>
      </c>
      <c r="C493">
        <v>20.811654999999998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71.704351430546382</v>
      </c>
      <c r="M493">
        <v>595.04</v>
      </c>
      <c r="N493">
        <v>1625.51</v>
      </c>
      <c r="O493">
        <v>0.37</v>
      </c>
      <c r="P493">
        <v>147.12</v>
      </c>
      <c r="Q493">
        <v>30.538439742260941</v>
      </c>
      <c r="R493">
        <v>0.23</v>
      </c>
      <c r="S493">
        <v>32.44</v>
      </c>
      <c r="T493">
        <v>23.72</v>
      </c>
      <c r="U493">
        <v>7.6002555740330138</v>
      </c>
      <c r="V493">
        <v>16.1776038961039</v>
      </c>
      <c r="W493">
        <v>63.426781551295228</v>
      </c>
      <c r="X493">
        <v>15.290673931623941</v>
      </c>
      <c r="Y493">
        <v>7.2907064297491129</v>
      </c>
      <c r="Z493">
        <v>10524.87407936508</v>
      </c>
      <c r="AA493">
        <v>1989.0069324286819</v>
      </c>
    </row>
    <row r="494" spans="1:27" hidden="1">
      <c r="A494">
        <v>54</v>
      </c>
      <c r="B494">
        <v>1</v>
      </c>
      <c r="C494">
        <v>32.488630000000001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62.911450163717582</v>
      </c>
      <c r="M494">
        <v>62.03</v>
      </c>
      <c r="N494">
        <v>414.01</v>
      </c>
      <c r="O494">
        <v>0.15</v>
      </c>
      <c r="P494">
        <v>84.93</v>
      </c>
      <c r="Q494">
        <v>20.946209298741529</v>
      </c>
      <c r="R494">
        <v>0.13</v>
      </c>
      <c r="S494">
        <v>28.2</v>
      </c>
      <c r="T494">
        <v>8.8699999999999992</v>
      </c>
      <c r="U494">
        <v>4.8037527472527479</v>
      </c>
      <c r="V494">
        <v>16.751037384837389</v>
      </c>
      <c r="W494">
        <v>54.099402278724853</v>
      </c>
      <c r="X494">
        <v>10.954138888888879</v>
      </c>
      <c r="Y494">
        <v>3.3713208180708181</v>
      </c>
      <c r="Z494">
        <v>4257.8415079365086</v>
      </c>
      <c r="AA494">
        <v>2131.7294704451651</v>
      </c>
    </row>
    <row r="495" spans="1:27" hidden="1">
      <c r="A495">
        <v>63</v>
      </c>
      <c r="B495">
        <v>1</v>
      </c>
      <c r="C495">
        <v>21.513859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83.836526295133439</v>
      </c>
      <c r="M495">
        <v>666.91</v>
      </c>
      <c r="N495">
        <v>1560.34</v>
      </c>
      <c r="O495">
        <v>0.43</v>
      </c>
      <c r="P495">
        <v>183.33</v>
      </c>
      <c r="Q495">
        <v>23.84007520422438</v>
      </c>
      <c r="R495">
        <v>0.22</v>
      </c>
      <c r="S495">
        <v>31.6</v>
      </c>
      <c r="T495">
        <v>34.67</v>
      </c>
      <c r="U495">
        <v>5.3484488566988571</v>
      </c>
      <c r="V495">
        <v>14.8180881063381</v>
      </c>
      <c r="W495">
        <v>63.756709595959613</v>
      </c>
      <c r="X495">
        <v>8.4375699855699864</v>
      </c>
      <c r="Y495">
        <v>2.2939497287988369</v>
      </c>
      <c r="Z495">
        <v>14840.171281746039</v>
      </c>
      <c r="AA495">
        <v>3121.6869668975469</v>
      </c>
    </row>
    <row r="496" spans="1:27" hidden="1">
      <c r="A496">
        <v>42</v>
      </c>
      <c r="B496">
        <v>1</v>
      </c>
      <c r="C496">
        <v>20.535847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66.666078358989608</v>
      </c>
      <c r="M496">
        <v>202.61</v>
      </c>
      <c r="N496">
        <v>209.6</v>
      </c>
      <c r="O496">
        <v>0.97</v>
      </c>
      <c r="P496">
        <v>64.17</v>
      </c>
      <c r="Q496">
        <v>40.160317823835378</v>
      </c>
      <c r="R496">
        <v>0.18</v>
      </c>
      <c r="S496">
        <v>28.69</v>
      </c>
      <c r="T496">
        <v>10.36</v>
      </c>
      <c r="U496">
        <v>5.025960781736325</v>
      </c>
      <c r="V496">
        <v>13.95514858022095</v>
      </c>
      <c r="W496">
        <v>52.12336616615525</v>
      </c>
      <c r="X496">
        <v>10.853474747474751</v>
      </c>
      <c r="Y496">
        <v>3.165455336330337</v>
      </c>
      <c r="Z496">
        <v>4018.7066309523821</v>
      </c>
      <c r="AA496">
        <v>1893.8636189444451</v>
      </c>
    </row>
    <row r="497" spans="1:27" hidden="1">
      <c r="A497">
        <v>47</v>
      </c>
      <c r="B497">
        <v>1</v>
      </c>
      <c r="C497">
        <v>23.529411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78.090516760678796</v>
      </c>
      <c r="M497">
        <v>306.11</v>
      </c>
      <c r="N497">
        <v>872.04</v>
      </c>
      <c r="O497">
        <v>0.35</v>
      </c>
      <c r="P497">
        <v>111.35</v>
      </c>
      <c r="Q497">
        <v>29.205444619074701</v>
      </c>
      <c r="R497">
        <v>0.69</v>
      </c>
      <c r="S497">
        <v>31.15</v>
      </c>
      <c r="T497">
        <v>32.659999999999997</v>
      </c>
      <c r="U497">
        <v>4.3111711759518592</v>
      </c>
      <c r="V497">
        <v>14.651953224298049</v>
      </c>
      <c r="W497">
        <v>53.397853398603601</v>
      </c>
      <c r="X497">
        <v>5.2799488789349383</v>
      </c>
      <c r="Y497">
        <v>2.6306599198221061</v>
      </c>
      <c r="Z497">
        <v>8342.7925515873012</v>
      </c>
      <c r="AA497">
        <v>2245.2913353658009</v>
      </c>
    </row>
    <row r="498" spans="1:27" hidden="1">
      <c r="A498">
        <v>43</v>
      </c>
      <c r="B498">
        <v>1</v>
      </c>
      <c r="C498">
        <v>38.163930000000001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86.781152777777777</v>
      </c>
      <c r="M498">
        <v>4.54</v>
      </c>
      <c r="N498">
        <v>3.58</v>
      </c>
      <c r="O498">
        <v>1.27</v>
      </c>
      <c r="P498">
        <v>13.3</v>
      </c>
      <c r="Q498">
        <v>62.337825654547061</v>
      </c>
      <c r="R498">
        <v>0.11</v>
      </c>
      <c r="S498">
        <v>26.02</v>
      </c>
      <c r="T498">
        <v>1.96</v>
      </c>
      <c r="U498">
        <v>7.3643209665721283</v>
      </c>
      <c r="V498">
        <v>14.265298701298709</v>
      </c>
      <c r="W498">
        <v>53.379096705374089</v>
      </c>
      <c r="X498">
        <v>13.54456637806638</v>
      </c>
      <c r="Y498">
        <v>7.8535039682539676</v>
      </c>
      <c r="Z498">
        <v>316.19416178266169</v>
      </c>
      <c r="AA498">
        <v>67.445894993894996</v>
      </c>
    </row>
    <row r="499" spans="1:27" hidden="1">
      <c r="A499">
        <v>30</v>
      </c>
      <c r="B499">
        <v>1</v>
      </c>
      <c r="C499">
        <v>22.857143000000001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70.008025870854411</v>
      </c>
      <c r="M499">
        <v>162.85</v>
      </c>
      <c r="N499">
        <v>324.02999999999997</v>
      </c>
      <c r="O499">
        <v>0.5</v>
      </c>
      <c r="P499">
        <v>108.04</v>
      </c>
      <c r="Q499">
        <v>29.918252571819622</v>
      </c>
      <c r="R499">
        <v>0.3</v>
      </c>
      <c r="S499">
        <v>28.88</v>
      </c>
      <c r="T499">
        <v>16.48</v>
      </c>
      <c r="U499">
        <v>5.2470530303030296</v>
      </c>
      <c r="V499">
        <v>15.21044048276285</v>
      </c>
      <c r="W499">
        <v>54.158562510102463</v>
      </c>
      <c r="X499">
        <v>12.07456998556998</v>
      </c>
      <c r="Y499">
        <v>3.1959580039843201</v>
      </c>
      <c r="Z499">
        <v>4552.0739722222233</v>
      </c>
      <c r="AA499">
        <v>2023.3355995324671</v>
      </c>
    </row>
    <row r="500" spans="1:27" hidden="1">
      <c r="A500">
        <v>29</v>
      </c>
      <c r="B500">
        <v>1</v>
      </c>
      <c r="C500">
        <v>29.757785999999999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67.552880110200064</v>
      </c>
      <c r="M500">
        <v>552.52</v>
      </c>
      <c r="N500">
        <v>629.75</v>
      </c>
      <c r="O500">
        <v>0.88</v>
      </c>
      <c r="P500">
        <v>155.49</v>
      </c>
      <c r="Q500">
        <v>43.103626846696443</v>
      </c>
      <c r="R500">
        <v>2.65</v>
      </c>
      <c r="S500">
        <v>29.81</v>
      </c>
      <c r="T500">
        <v>16.18</v>
      </c>
      <c r="U500">
        <v>2.8664142754091602</v>
      </c>
      <c r="V500">
        <v>15.740565232152569</v>
      </c>
      <c r="W500">
        <v>52.603586094129312</v>
      </c>
      <c r="X500">
        <v>3.8528301101830689</v>
      </c>
      <c r="Y500">
        <v>2.5031163197024182</v>
      </c>
      <c r="Z500">
        <v>4996.6559365079374</v>
      </c>
      <c r="AA500">
        <v>2031.312196936618</v>
      </c>
    </row>
    <row r="501" spans="1:27" hidden="1">
      <c r="A501">
        <v>30</v>
      </c>
      <c r="B501">
        <v>1</v>
      </c>
      <c r="C501">
        <v>20.478266000000001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85.274630568805748</v>
      </c>
      <c r="M501">
        <v>4936.2</v>
      </c>
      <c r="N501">
        <v>2279.11</v>
      </c>
      <c r="O501">
        <v>2.17</v>
      </c>
      <c r="P501">
        <v>203.23</v>
      </c>
      <c r="Q501">
        <v>28.574389143433731</v>
      </c>
      <c r="R501">
        <v>0.13</v>
      </c>
      <c r="S501">
        <v>30.2</v>
      </c>
      <c r="T501">
        <v>35.159999999999997</v>
      </c>
      <c r="U501">
        <v>5.4621791308107106</v>
      </c>
      <c r="V501">
        <v>11.87357223332223</v>
      </c>
      <c r="W501">
        <v>53.671718174779173</v>
      </c>
      <c r="X501">
        <v>10.383998556998559</v>
      </c>
      <c r="Y501">
        <v>2.3484784223275308</v>
      </c>
      <c r="Z501">
        <v>26415.45000036075</v>
      </c>
      <c r="AA501">
        <v>3584.093265151515</v>
      </c>
    </row>
    <row r="502" spans="1:27" hidden="1">
      <c r="A502">
        <v>36</v>
      </c>
      <c r="B502">
        <v>1</v>
      </c>
      <c r="C502">
        <v>24.508945000000001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67.103670097990047</v>
      </c>
      <c r="M502">
        <v>385.13</v>
      </c>
      <c r="N502">
        <v>483.09</v>
      </c>
      <c r="O502">
        <v>0.8</v>
      </c>
      <c r="P502">
        <v>77.83</v>
      </c>
      <c r="Q502">
        <v>40.248486798077863</v>
      </c>
      <c r="R502">
        <v>0.33</v>
      </c>
      <c r="S502">
        <v>31.28</v>
      </c>
      <c r="T502">
        <v>14.37</v>
      </c>
      <c r="U502">
        <v>6.7402584148293894</v>
      </c>
      <c r="V502">
        <v>15.45849445554445</v>
      </c>
      <c r="W502">
        <v>58.60572292947203</v>
      </c>
      <c r="X502">
        <v>11.90284992784993</v>
      </c>
      <c r="Y502">
        <v>6.1316991037417878</v>
      </c>
      <c r="Z502">
        <v>4677.0510674603174</v>
      </c>
      <c r="AA502">
        <v>2193.1470653730162</v>
      </c>
    </row>
    <row r="503" spans="1:27" hidden="1">
      <c r="A503">
        <v>21</v>
      </c>
      <c r="B503">
        <v>0</v>
      </c>
      <c r="C503">
        <v>24.243919999999999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90.149804705729863</v>
      </c>
      <c r="M503">
        <v>29.95</v>
      </c>
      <c r="N503">
        <v>43.02</v>
      </c>
      <c r="O503">
        <v>0.7</v>
      </c>
      <c r="P503">
        <v>31.11</v>
      </c>
      <c r="Q503">
        <v>50.064334704261967</v>
      </c>
      <c r="R503">
        <v>1.59</v>
      </c>
      <c r="S503">
        <v>30.49</v>
      </c>
      <c r="T503">
        <v>5.26</v>
      </c>
      <c r="U503">
        <v>6.2474977158639016</v>
      </c>
      <c r="V503">
        <v>13.654833519928349</v>
      </c>
      <c r="W503">
        <v>48.61487577045957</v>
      </c>
      <c r="X503">
        <v>8.2208045042722464</v>
      </c>
      <c r="Y503">
        <v>8.417945651570653</v>
      </c>
      <c r="Z503">
        <v>954.8860962400172</v>
      </c>
      <c r="AA503">
        <v>576.52014082492406</v>
      </c>
    </row>
    <row r="504" spans="1:27" hidden="1">
      <c r="A504">
        <v>46</v>
      </c>
      <c r="B504">
        <v>1</v>
      </c>
      <c r="C504">
        <v>26.122448979591841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76</v>
      </c>
      <c r="M504">
        <v>209</v>
      </c>
      <c r="N504">
        <v>58</v>
      </c>
      <c r="O504" s="3">
        <v>3.603448275862069</v>
      </c>
      <c r="P504">
        <v>22</v>
      </c>
      <c r="Q504">
        <v>73.851590106007066</v>
      </c>
      <c r="R504">
        <v>0.66705845752823445</v>
      </c>
      <c r="S504">
        <v>31.409982776004799</v>
      </c>
      <c r="T504">
        <v>5.9368444409660102</v>
      </c>
      <c r="U504">
        <v>12</v>
      </c>
      <c r="V504">
        <v>16</v>
      </c>
      <c r="W504">
        <v>58</v>
      </c>
      <c r="X504">
        <v>29</v>
      </c>
      <c r="Y504">
        <v>16</v>
      </c>
      <c r="Z504">
        <v>579</v>
      </c>
      <c r="AA504">
        <v>296</v>
      </c>
    </row>
    <row r="505" spans="1:27">
      <c r="A505">
        <v>49</v>
      </c>
      <c r="B505">
        <v>1</v>
      </c>
      <c r="C505">
        <v>21.048047612135289</v>
      </c>
      <c r="D505">
        <v>0</v>
      </c>
      <c r="E505">
        <v>1</v>
      </c>
      <c r="F505">
        <v>1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80</v>
      </c>
      <c r="M505">
        <v>322</v>
      </c>
      <c r="N505">
        <v>51</v>
      </c>
      <c r="O505" s="3">
        <v>6.3137254901960782</v>
      </c>
      <c r="P505">
        <v>26</v>
      </c>
      <c r="Q505">
        <v>83.419689119170982</v>
      </c>
      <c r="R505">
        <v>0.75663687322644846</v>
      </c>
      <c r="S505">
        <v>30.197455018844749</v>
      </c>
      <c r="T505">
        <v>6.376628406593408</v>
      </c>
      <c r="U505">
        <v>12</v>
      </c>
      <c r="V505">
        <v>6</v>
      </c>
      <c r="W505">
        <v>42</v>
      </c>
      <c r="X505">
        <v>19</v>
      </c>
      <c r="Y505">
        <v>19</v>
      </c>
      <c r="Z505">
        <v>706</v>
      </c>
      <c r="AA505">
        <v>320</v>
      </c>
    </row>
    <row r="506" spans="1:27" hidden="1">
      <c r="A506">
        <v>42</v>
      </c>
      <c r="B506">
        <v>0</v>
      </c>
      <c r="C506">
        <v>19.486961451247168</v>
      </c>
      <c r="D506">
        <v>0</v>
      </c>
      <c r="E506">
        <v>1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56</v>
      </c>
      <c r="M506">
        <v>598</v>
      </c>
      <c r="N506">
        <v>224</v>
      </c>
      <c r="O506" s="3">
        <v>2.6696428571428572</v>
      </c>
      <c r="P506">
        <v>48</v>
      </c>
      <c r="Q506">
        <v>67.647058823529406</v>
      </c>
      <c r="R506">
        <v>2.1081931501575011</v>
      </c>
      <c r="S506">
        <v>28.901863173234808</v>
      </c>
      <c r="T506">
        <v>8.4141196176783311</v>
      </c>
      <c r="U506">
        <v>28</v>
      </c>
      <c r="V506">
        <v>34</v>
      </c>
      <c r="W506">
        <v>71</v>
      </c>
      <c r="X506">
        <v>38</v>
      </c>
      <c r="Y506">
        <v>41</v>
      </c>
      <c r="Z506">
        <v>2467</v>
      </c>
      <c r="AA506">
        <v>1583</v>
      </c>
    </row>
    <row r="507" spans="1:27">
      <c r="A507">
        <v>43</v>
      </c>
      <c r="B507">
        <v>0</v>
      </c>
      <c r="C507">
        <v>15.94387755102041</v>
      </c>
      <c r="D507">
        <v>0</v>
      </c>
      <c r="E507">
        <v>1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76</v>
      </c>
      <c r="M507">
        <v>137</v>
      </c>
      <c r="N507">
        <v>163</v>
      </c>
      <c r="O507" s="3">
        <v>0.8404907975460123</v>
      </c>
      <c r="P507">
        <v>22</v>
      </c>
      <c r="Q507">
        <v>39.367816091954033</v>
      </c>
      <c r="R507">
        <v>0.59872579701651174</v>
      </c>
      <c r="S507">
        <v>28.536245833470471</v>
      </c>
      <c r="T507">
        <v>5.9703456691479229</v>
      </c>
      <c r="U507">
        <v>17</v>
      </c>
      <c r="V507">
        <v>29</v>
      </c>
      <c r="W507">
        <v>57</v>
      </c>
      <c r="X507">
        <v>10</v>
      </c>
      <c r="Y507">
        <v>26</v>
      </c>
      <c r="Z507">
        <v>463</v>
      </c>
      <c r="AA507">
        <v>115</v>
      </c>
    </row>
    <row r="508" spans="1:27">
      <c r="A508">
        <v>24</v>
      </c>
      <c r="B508">
        <v>0</v>
      </c>
      <c r="C508">
        <v>32.038959374599507</v>
      </c>
      <c r="D508">
        <v>0</v>
      </c>
      <c r="E508">
        <v>1</v>
      </c>
      <c r="F508">
        <v>1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65</v>
      </c>
      <c r="M508">
        <v>271</v>
      </c>
      <c r="N508">
        <v>306</v>
      </c>
      <c r="O508" s="3">
        <v>0.8856209150326797</v>
      </c>
      <c r="P508">
        <v>32</v>
      </c>
      <c r="Q508">
        <v>42.34375</v>
      </c>
      <c r="R508">
        <v>0.55614488780827598</v>
      </c>
      <c r="S508">
        <v>31.454765517210092</v>
      </c>
      <c r="T508">
        <v>7.8544345390720398</v>
      </c>
      <c r="U508">
        <v>11</v>
      </c>
      <c r="V508">
        <v>33</v>
      </c>
      <c r="W508">
        <v>68</v>
      </c>
      <c r="X508">
        <v>20</v>
      </c>
      <c r="Y508">
        <v>29</v>
      </c>
      <c r="Z508">
        <v>984</v>
      </c>
      <c r="AA508">
        <v>344</v>
      </c>
    </row>
    <row r="509" spans="1:27" hidden="1">
      <c r="A509">
        <v>37</v>
      </c>
      <c r="B509">
        <v>0</v>
      </c>
      <c r="C509">
        <v>14.172335600907029</v>
      </c>
      <c r="D509">
        <v>0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84</v>
      </c>
      <c r="M509">
        <v>340</v>
      </c>
      <c r="N509">
        <v>495</v>
      </c>
      <c r="O509" s="3">
        <v>0.68686868686868685</v>
      </c>
      <c r="P509">
        <v>44</v>
      </c>
      <c r="Q509">
        <v>25.738077214231641</v>
      </c>
      <c r="R509">
        <v>0.51912577722010833</v>
      </c>
      <c r="S509">
        <v>28.697473197826941</v>
      </c>
      <c r="T509">
        <v>10.754592637724761</v>
      </c>
      <c r="U509">
        <v>7</v>
      </c>
      <c r="V509">
        <v>11</v>
      </c>
      <c r="W509">
        <v>23</v>
      </c>
      <c r="X509">
        <v>8</v>
      </c>
      <c r="Y509">
        <v>4</v>
      </c>
      <c r="Z509">
        <v>1705</v>
      </c>
      <c r="AA509">
        <v>384</v>
      </c>
    </row>
    <row r="510" spans="1:27" hidden="1">
      <c r="A510">
        <v>41</v>
      </c>
      <c r="B510">
        <v>1</v>
      </c>
      <c r="C510">
        <v>22.04081632653061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79</v>
      </c>
      <c r="M510">
        <v>95</v>
      </c>
      <c r="N510">
        <v>188</v>
      </c>
      <c r="O510" s="3">
        <v>0.50531914893617025</v>
      </c>
      <c r="P510">
        <v>23</v>
      </c>
      <c r="Q510">
        <v>27.777777777777779</v>
      </c>
      <c r="R510">
        <v>0.36449186539405592</v>
      </c>
      <c r="S510">
        <v>30.62699712440909</v>
      </c>
      <c r="T510">
        <v>6.0547820652518176</v>
      </c>
      <c r="U510">
        <v>10</v>
      </c>
      <c r="V510">
        <v>50</v>
      </c>
      <c r="W510">
        <v>86</v>
      </c>
      <c r="X510">
        <v>27</v>
      </c>
      <c r="Y510">
        <v>18</v>
      </c>
      <c r="Z510">
        <v>502</v>
      </c>
      <c r="AA510">
        <v>160</v>
      </c>
    </row>
    <row r="511" spans="1:27" hidden="1">
      <c r="A511">
        <v>40</v>
      </c>
      <c r="B511">
        <v>0</v>
      </c>
      <c r="C511">
        <v>17.102914931588341</v>
      </c>
      <c r="D511">
        <v>0</v>
      </c>
      <c r="E511">
        <v>1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104</v>
      </c>
      <c r="M511">
        <v>0</v>
      </c>
      <c r="N511">
        <v>0</v>
      </c>
      <c r="O511" s="3" t="e">
        <v>#DIV/0!</v>
      </c>
      <c r="P511">
        <v>231</v>
      </c>
      <c r="Q511">
        <v>63.213496421626267</v>
      </c>
      <c r="R511">
        <v>0.90372971482484166</v>
      </c>
      <c r="S511">
        <v>29.156928879709429</v>
      </c>
      <c r="T511">
        <v>9.2204306026757425</v>
      </c>
      <c r="U511">
        <v>10</v>
      </c>
      <c r="V511">
        <v>25</v>
      </c>
      <c r="W511">
        <v>59</v>
      </c>
      <c r="X511">
        <v>8</v>
      </c>
      <c r="Y511">
        <v>12</v>
      </c>
      <c r="Z511">
        <v>0</v>
      </c>
      <c r="AA511">
        <v>0</v>
      </c>
    </row>
    <row r="512" spans="1:27" hidden="1">
      <c r="A512">
        <v>35</v>
      </c>
      <c r="B512">
        <v>0</v>
      </c>
      <c r="C512">
        <v>21.36752136752137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74</v>
      </c>
      <c r="M512">
        <v>337</v>
      </c>
      <c r="N512">
        <v>124</v>
      </c>
      <c r="O512" s="3">
        <v>2.717741935483871</v>
      </c>
      <c r="P512">
        <v>37</v>
      </c>
      <c r="Q512">
        <v>68.775510204081627</v>
      </c>
      <c r="R512">
        <v>1.6601000667494521</v>
      </c>
      <c r="S512">
        <v>29.88740670564534</v>
      </c>
      <c r="T512">
        <v>7.448710726842461</v>
      </c>
      <c r="U512">
        <v>3</v>
      </c>
      <c r="V512">
        <v>17</v>
      </c>
      <c r="W512">
        <v>49</v>
      </c>
      <c r="X512">
        <v>1</v>
      </c>
      <c r="Y512">
        <v>4</v>
      </c>
      <c r="Z512">
        <v>1420</v>
      </c>
      <c r="AA512">
        <v>930</v>
      </c>
    </row>
    <row r="513" spans="1:27" hidden="1">
      <c r="A513">
        <v>34</v>
      </c>
      <c r="B513">
        <v>0</v>
      </c>
      <c r="C513">
        <v>26.83864765261977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73</v>
      </c>
      <c r="M513">
        <v>1541</v>
      </c>
      <c r="N513">
        <v>445</v>
      </c>
      <c r="O513" s="3">
        <v>3.4629213483146066</v>
      </c>
      <c r="P513">
        <v>62</v>
      </c>
      <c r="Q513">
        <v>74.300867888138868</v>
      </c>
      <c r="R513">
        <v>1.477072462296197</v>
      </c>
      <c r="S513">
        <v>29.141802307152549</v>
      </c>
      <c r="T513">
        <v>12.30772324958591</v>
      </c>
      <c r="U513">
        <v>0</v>
      </c>
      <c r="V513">
        <v>16</v>
      </c>
      <c r="W513">
        <v>48</v>
      </c>
      <c r="X513">
        <v>27</v>
      </c>
      <c r="Y513">
        <v>1</v>
      </c>
      <c r="Z513">
        <v>3770</v>
      </c>
      <c r="AA513">
        <v>1696</v>
      </c>
    </row>
    <row r="514" spans="1:27" hidden="1">
      <c r="A514">
        <v>31</v>
      </c>
      <c r="B514">
        <v>0</v>
      </c>
      <c r="C514">
        <v>22.959087658549439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66</v>
      </c>
      <c r="M514">
        <v>1231</v>
      </c>
      <c r="N514">
        <v>439</v>
      </c>
      <c r="O514" s="3">
        <v>2.8041002277904328</v>
      </c>
      <c r="P514">
        <v>61</v>
      </c>
      <c r="Q514">
        <v>69.626696832579185</v>
      </c>
      <c r="R514">
        <v>1.385408275860978</v>
      </c>
      <c r="S514">
        <v>29.44962646414934</v>
      </c>
      <c r="T514">
        <v>12.42485473588038</v>
      </c>
      <c r="U514">
        <v>5</v>
      </c>
      <c r="V514">
        <v>13</v>
      </c>
      <c r="W514">
        <v>49</v>
      </c>
      <c r="X514">
        <v>4</v>
      </c>
      <c r="Y514">
        <v>3</v>
      </c>
      <c r="Z514">
        <v>3317</v>
      </c>
      <c r="AA514">
        <v>1549</v>
      </c>
    </row>
    <row r="515" spans="1:27" hidden="1">
      <c r="A515">
        <v>40</v>
      </c>
      <c r="B515">
        <v>0</v>
      </c>
      <c r="C515">
        <v>21.096190514828191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78</v>
      </c>
      <c r="M515">
        <v>450</v>
      </c>
      <c r="N515">
        <v>123</v>
      </c>
      <c r="O515" s="3">
        <v>3.6585365853658538</v>
      </c>
      <c r="P515">
        <v>35</v>
      </c>
      <c r="Q515">
        <v>73.409461663947795</v>
      </c>
      <c r="R515">
        <v>1.133576426412835</v>
      </c>
      <c r="S515">
        <v>29.68684517602793</v>
      </c>
      <c r="T515">
        <v>7.9425561050061049</v>
      </c>
      <c r="U515">
        <v>7</v>
      </c>
      <c r="V515">
        <v>8</v>
      </c>
      <c r="W515">
        <v>40</v>
      </c>
      <c r="X515">
        <v>4</v>
      </c>
      <c r="Y515">
        <v>1</v>
      </c>
      <c r="Z515">
        <v>1414</v>
      </c>
      <c r="AA515">
        <v>801</v>
      </c>
    </row>
    <row r="516" spans="1:27" hidden="1">
      <c r="A516">
        <v>38</v>
      </c>
      <c r="B516">
        <v>0</v>
      </c>
      <c r="C516">
        <v>26.037493991347539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84</v>
      </c>
      <c r="M516">
        <v>145</v>
      </c>
      <c r="N516">
        <v>63</v>
      </c>
      <c r="O516" s="3">
        <v>2.3015873015873014</v>
      </c>
      <c r="P516">
        <v>20</v>
      </c>
      <c r="Q516">
        <v>61.965811965811973</v>
      </c>
      <c r="R516">
        <v>1.140712399490009</v>
      </c>
      <c r="S516">
        <v>31.496160762607001</v>
      </c>
      <c r="T516">
        <v>6.2400672364205176</v>
      </c>
      <c r="U516">
        <v>0</v>
      </c>
      <c r="V516">
        <v>21</v>
      </c>
      <c r="W516">
        <v>54</v>
      </c>
      <c r="X516">
        <v>0</v>
      </c>
      <c r="Y516">
        <v>0</v>
      </c>
      <c r="Z516">
        <v>437</v>
      </c>
      <c r="AA516">
        <v>203</v>
      </c>
    </row>
    <row r="517" spans="1:27" hidden="1">
      <c r="A517">
        <v>26</v>
      </c>
      <c r="B517">
        <v>1</v>
      </c>
      <c r="C517">
        <v>25.059307026629689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77</v>
      </c>
      <c r="M517">
        <v>721</v>
      </c>
      <c r="N517">
        <v>639</v>
      </c>
      <c r="O517" s="3">
        <v>1.1283255086071988</v>
      </c>
      <c r="P517">
        <v>48</v>
      </c>
      <c r="Q517">
        <v>47.247706422018346</v>
      </c>
      <c r="R517">
        <v>0.59373661891432516</v>
      </c>
      <c r="S517">
        <v>28.771575733370511</v>
      </c>
      <c r="T517">
        <v>13.17371004167296</v>
      </c>
      <c r="U517">
        <v>4</v>
      </c>
      <c r="V517">
        <v>14</v>
      </c>
      <c r="W517">
        <v>57</v>
      </c>
      <c r="X517">
        <v>10</v>
      </c>
      <c r="Y517">
        <v>7</v>
      </c>
      <c r="Z517">
        <v>2232</v>
      </c>
      <c r="AA517">
        <v>706</v>
      </c>
    </row>
    <row r="518" spans="1:27" hidden="1">
      <c r="A518">
        <v>39</v>
      </c>
      <c r="B518">
        <v>0</v>
      </c>
      <c r="C518">
        <v>19.62826470116968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75</v>
      </c>
      <c r="M518">
        <v>231</v>
      </c>
      <c r="N518">
        <v>250</v>
      </c>
      <c r="O518" s="3">
        <v>0.92400000000000004</v>
      </c>
      <c r="P518">
        <v>35</v>
      </c>
      <c r="Q518">
        <v>40.455341506129599</v>
      </c>
      <c r="R518">
        <v>1.018543037063385</v>
      </c>
      <c r="S518">
        <v>29.860418558095841</v>
      </c>
      <c r="T518">
        <v>7.8793645041124467</v>
      </c>
      <c r="U518">
        <v>2</v>
      </c>
      <c r="V518">
        <v>5</v>
      </c>
      <c r="W518">
        <v>42</v>
      </c>
      <c r="X518">
        <v>1</v>
      </c>
      <c r="Y518">
        <v>3</v>
      </c>
      <c r="Z518">
        <v>1325</v>
      </c>
      <c r="AA518">
        <v>754</v>
      </c>
    </row>
    <row r="519" spans="1:27" hidden="1">
      <c r="A519">
        <v>37</v>
      </c>
      <c r="B519">
        <v>0</v>
      </c>
      <c r="C519">
        <v>31.249999999999989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69</v>
      </c>
      <c r="M519">
        <v>611</v>
      </c>
      <c r="N519">
        <v>114</v>
      </c>
      <c r="O519" s="3">
        <v>5.3596491228070171</v>
      </c>
      <c r="P519">
        <v>49</v>
      </c>
      <c r="Q519">
        <v>78.233034571062745</v>
      </c>
      <c r="R519">
        <v>1.628577181495489</v>
      </c>
      <c r="S519">
        <v>29.942924729364641</v>
      </c>
      <c r="T519">
        <v>10.90780617410368</v>
      </c>
      <c r="U519">
        <v>2</v>
      </c>
      <c r="V519">
        <v>1</v>
      </c>
      <c r="W519">
        <v>48</v>
      </c>
      <c r="X519">
        <v>1</v>
      </c>
      <c r="Y519">
        <v>0</v>
      </c>
      <c r="Z519">
        <v>2717</v>
      </c>
      <c r="AA519">
        <v>1936</v>
      </c>
    </row>
    <row r="520" spans="1:27" hidden="1">
      <c r="A520">
        <v>33</v>
      </c>
      <c r="B520">
        <v>0</v>
      </c>
      <c r="C520">
        <v>25.47666009204471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64</v>
      </c>
      <c r="M520">
        <v>296</v>
      </c>
      <c r="N520">
        <v>1169</v>
      </c>
      <c r="O520" s="3">
        <v>0.25320786997433703</v>
      </c>
      <c r="P520">
        <v>50</v>
      </c>
      <c r="Q520">
        <v>18.316831683168321</v>
      </c>
      <c r="R520">
        <v>0.51489693386184254</v>
      </c>
      <c r="S520">
        <v>27.436337995748509</v>
      </c>
      <c r="T520">
        <v>10.89753864409461</v>
      </c>
      <c r="U520">
        <v>5</v>
      </c>
      <c r="V520">
        <v>17</v>
      </c>
      <c r="W520">
        <v>57</v>
      </c>
      <c r="X520">
        <v>12</v>
      </c>
      <c r="Y520">
        <v>6</v>
      </c>
      <c r="Z520">
        <v>2169</v>
      </c>
      <c r="AA520">
        <v>553</v>
      </c>
    </row>
    <row r="521" spans="1:27" hidden="1">
      <c r="A521">
        <v>29</v>
      </c>
      <c r="B521">
        <v>0</v>
      </c>
      <c r="C521">
        <v>22.959087658549439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70</v>
      </c>
      <c r="M521">
        <v>1584</v>
      </c>
      <c r="N521">
        <v>542</v>
      </c>
      <c r="O521" s="3">
        <v>2.9225092250922509</v>
      </c>
      <c r="P521">
        <v>59</v>
      </c>
      <c r="Q521">
        <v>70.682730923694777</v>
      </c>
      <c r="R521">
        <v>1.7980646145821151</v>
      </c>
      <c r="S521">
        <v>29.34724827476391</v>
      </c>
      <c r="T521">
        <v>13.133920872244021</v>
      </c>
      <c r="U521">
        <v>1</v>
      </c>
      <c r="V521">
        <v>6</v>
      </c>
      <c r="W521">
        <v>32</v>
      </c>
      <c r="X521">
        <v>3</v>
      </c>
      <c r="Y521">
        <v>0</v>
      </c>
      <c r="Z521">
        <v>3595</v>
      </c>
      <c r="AA521">
        <v>1354</v>
      </c>
    </row>
    <row r="522" spans="1:27" hidden="1">
      <c r="A522">
        <v>39</v>
      </c>
      <c r="B522">
        <v>0</v>
      </c>
      <c r="C522">
        <v>23.30668005306752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83</v>
      </c>
      <c r="M522">
        <v>436</v>
      </c>
      <c r="N522">
        <v>338</v>
      </c>
      <c r="O522" s="3">
        <v>1.2899408284023668</v>
      </c>
      <c r="P522">
        <v>38</v>
      </c>
      <c r="Q522">
        <v>52.5934861278649</v>
      </c>
      <c r="R522">
        <v>1.0091878044681479</v>
      </c>
      <c r="S522">
        <v>30.024170781566148</v>
      </c>
      <c r="T522">
        <v>9.6051313992252023</v>
      </c>
      <c r="U522">
        <v>11</v>
      </c>
      <c r="V522">
        <v>11</v>
      </c>
      <c r="W522">
        <v>60</v>
      </c>
      <c r="X522">
        <v>3</v>
      </c>
      <c r="Y522">
        <v>5</v>
      </c>
      <c r="Z522">
        <v>1521</v>
      </c>
      <c r="AA522">
        <v>692</v>
      </c>
    </row>
    <row r="523" spans="1:27" hidden="1">
      <c r="A523">
        <v>37</v>
      </c>
      <c r="B523">
        <v>0</v>
      </c>
      <c r="C523">
        <v>21.0771952275208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78</v>
      </c>
      <c r="M523">
        <v>158</v>
      </c>
      <c r="N523">
        <v>186</v>
      </c>
      <c r="O523" s="3">
        <v>0.84946236559139787</v>
      </c>
      <c r="P523">
        <v>29</v>
      </c>
      <c r="Q523">
        <v>40.932642487046643</v>
      </c>
      <c r="R523">
        <v>0.46829373539653618</v>
      </c>
      <c r="S523">
        <v>30.20215653553883</v>
      </c>
      <c r="T523">
        <v>6.982233484218062</v>
      </c>
      <c r="U523">
        <v>6</v>
      </c>
      <c r="V523">
        <v>19</v>
      </c>
      <c r="W523">
        <v>49</v>
      </c>
      <c r="X523">
        <v>14</v>
      </c>
      <c r="Y523">
        <v>7</v>
      </c>
      <c r="Z523">
        <v>942</v>
      </c>
      <c r="AA523">
        <v>556</v>
      </c>
    </row>
    <row r="524" spans="1:27" hidden="1">
      <c r="A524">
        <v>33</v>
      </c>
      <c r="B524">
        <v>0</v>
      </c>
      <c r="C524">
        <v>20.932120124738351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87</v>
      </c>
      <c r="M524">
        <v>212</v>
      </c>
      <c r="N524">
        <v>105</v>
      </c>
      <c r="O524" s="3">
        <v>2.019047619047619</v>
      </c>
      <c r="P524">
        <v>28</v>
      </c>
      <c r="Q524">
        <v>61.271676300578036</v>
      </c>
      <c r="R524">
        <v>0.98199229660237786</v>
      </c>
      <c r="S524">
        <v>30.501633698644941</v>
      </c>
      <c r="T524">
        <v>6.9711077585525834</v>
      </c>
      <c r="U524">
        <v>5</v>
      </c>
      <c r="V524">
        <v>9</v>
      </c>
      <c r="W524">
        <v>42</v>
      </c>
      <c r="X524">
        <v>3</v>
      </c>
      <c r="Y524">
        <v>2</v>
      </c>
      <c r="Z524">
        <v>839</v>
      </c>
      <c r="AA524">
        <v>493</v>
      </c>
    </row>
    <row r="525" spans="1:27" hidden="1">
      <c r="A525">
        <v>25</v>
      </c>
      <c r="B525">
        <v>1</v>
      </c>
      <c r="C525">
        <v>18.5901249256395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71</v>
      </c>
      <c r="M525">
        <v>1165</v>
      </c>
      <c r="N525">
        <v>1431</v>
      </c>
      <c r="O525" s="3">
        <v>0.81411600279524809</v>
      </c>
      <c r="P525">
        <v>66</v>
      </c>
      <c r="Q525">
        <v>43.292456335934602</v>
      </c>
      <c r="R525">
        <v>1.0338054900709721</v>
      </c>
      <c r="S525">
        <v>29.927189984639949</v>
      </c>
      <c r="T525">
        <v>14.355136913678431</v>
      </c>
      <c r="U525">
        <v>0</v>
      </c>
      <c r="V525">
        <v>8</v>
      </c>
      <c r="W525">
        <v>51</v>
      </c>
      <c r="X525">
        <v>1</v>
      </c>
      <c r="Y525">
        <v>1</v>
      </c>
      <c r="Z525">
        <v>4180</v>
      </c>
      <c r="AA525">
        <v>1489</v>
      </c>
    </row>
    <row r="526" spans="1:27" hidden="1">
      <c r="A526">
        <v>42</v>
      </c>
      <c r="B526">
        <v>0</v>
      </c>
      <c r="C526">
        <v>19.948059768903612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88</v>
      </c>
      <c r="M526">
        <v>178</v>
      </c>
      <c r="N526">
        <v>130</v>
      </c>
      <c r="O526" s="3">
        <v>1.3692307692307693</v>
      </c>
      <c r="P526">
        <v>28</v>
      </c>
      <c r="Q526">
        <v>52.199413489736067</v>
      </c>
      <c r="R526">
        <v>0.48391727574420501</v>
      </c>
      <c r="S526">
        <v>29.99418655324083</v>
      </c>
      <c r="T526">
        <v>6.6492464426845412</v>
      </c>
      <c r="U526">
        <v>6</v>
      </c>
      <c r="V526">
        <v>6</v>
      </c>
      <c r="W526">
        <v>55</v>
      </c>
      <c r="X526">
        <v>7</v>
      </c>
      <c r="Y526">
        <v>4</v>
      </c>
      <c r="Z526">
        <v>819</v>
      </c>
      <c r="AA526">
        <v>478</v>
      </c>
    </row>
    <row r="527" spans="1:27" hidden="1">
      <c r="A527">
        <v>30</v>
      </c>
      <c r="B527">
        <v>1</v>
      </c>
      <c r="C527">
        <v>25.31905477378638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94</v>
      </c>
      <c r="M527">
        <v>40</v>
      </c>
      <c r="N527">
        <v>22</v>
      </c>
      <c r="O527" s="4">
        <v>1.8181818181818181</v>
      </c>
      <c r="P527">
        <v>12</v>
      </c>
      <c r="Q527">
        <v>49.382716049382722</v>
      </c>
      <c r="R527">
        <v>0.6949273442187951</v>
      </c>
      <c r="S527">
        <v>32.074408031820127</v>
      </c>
      <c r="T527">
        <v>4.4507687250212644</v>
      </c>
      <c r="U527">
        <v>4</v>
      </c>
      <c r="V527">
        <v>30</v>
      </c>
      <c r="W527">
        <v>67</v>
      </c>
      <c r="X527">
        <v>13</v>
      </c>
      <c r="Y527">
        <v>13</v>
      </c>
      <c r="Z527">
        <v>173</v>
      </c>
      <c r="AA527">
        <v>92</v>
      </c>
    </row>
    <row r="528" spans="1:27" hidden="1">
      <c r="A528">
        <v>41</v>
      </c>
      <c r="B528">
        <v>0</v>
      </c>
      <c r="C528">
        <v>26.5337588296461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63</v>
      </c>
      <c r="M528">
        <v>222</v>
      </c>
      <c r="N528">
        <v>402</v>
      </c>
      <c r="O528" s="3">
        <v>0.55223880597014929</v>
      </c>
      <c r="P528">
        <v>37</v>
      </c>
      <c r="Q528">
        <v>32.743362831858413</v>
      </c>
      <c r="R528">
        <v>0.7400523510361946</v>
      </c>
      <c r="S528">
        <v>30.322342729304498</v>
      </c>
      <c r="T528">
        <v>7.7414081926665794</v>
      </c>
      <c r="U528">
        <v>2</v>
      </c>
      <c r="V528">
        <v>11</v>
      </c>
      <c r="W528">
        <v>49</v>
      </c>
      <c r="X528">
        <v>5</v>
      </c>
      <c r="Y528">
        <v>5</v>
      </c>
      <c r="Z528">
        <v>1465</v>
      </c>
      <c r="AA528">
        <v>787</v>
      </c>
    </row>
    <row r="529" spans="1:27" hidden="1">
      <c r="A529">
        <v>35</v>
      </c>
      <c r="B529">
        <v>0</v>
      </c>
      <c r="C529">
        <v>19.1745799853908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88</v>
      </c>
      <c r="M529">
        <v>274</v>
      </c>
      <c r="N529">
        <v>76</v>
      </c>
      <c r="O529" s="3">
        <v>3.6052631578947367</v>
      </c>
      <c r="P529">
        <v>24</v>
      </c>
      <c r="Q529">
        <v>73.262032085561501</v>
      </c>
      <c r="R529">
        <v>1.069674802239873</v>
      </c>
      <c r="S529">
        <v>29.838524851002589</v>
      </c>
      <c r="T529">
        <v>6.4220174328449318</v>
      </c>
      <c r="U529">
        <v>12</v>
      </c>
      <c r="V529">
        <v>18</v>
      </c>
      <c r="W529">
        <v>63</v>
      </c>
      <c r="X529">
        <v>14</v>
      </c>
      <c r="Y529">
        <v>11</v>
      </c>
      <c r="Z529">
        <v>634</v>
      </c>
      <c r="AA529">
        <v>260</v>
      </c>
    </row>
    <row r="530" spans="1:27" hidden="1">
      <c r="A530">
        <v>51</v>
      </c>
      <c r="B530">
        <v>0</v>
      </c>
      <c r="C530">
        <v>33.694937541091377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69</v>
      </c>
      <c r="M530">
        <v>138</v>
      </c>
      <c r="N530">
        <v>630</v>
      </c>
      <c r="O530" s="3">
        <v>0.21904761904761905</v>
      </c>
      <c r="P530">
        <v>40</v>
      </c>
      <c r="Q530">
        <v>15.89861751152074</v>
      </c>
      <c r="R530">
        <v>0.97142968162843024</v>
      </c>
      <c r="S530">
        <v>29.905632503097639</v>
      </c>
      <c r="T530">
        <v>8.5575711963036944</v>
      </c>
      <c r="U530">
        <v>2</v>
      </c>
      <c r="V530">
        <v>14</v>
      </c>
      <c r="W530">
        <v>44</v>
      </c>
      <c r="X530">
        <v>3</v>
      </c>
      <c r="Y530">
        <v>1</v>
      </c>
      <c r="Z530">
        <v>1460</v>
      </c>
      <c r="AA530">
        <v>592</v>
      </c>
    </row>
    <row r="531" spans="1:27" hidden="1">
      <c r="A531">
        <v>41</v>
      </c>
      <c r="B531">
        <v>0</v>
      </c>
      <c r="C531">
        <v>23.733238400379729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86</v>
      </c>
      <c r="M531">
        <v>716</v>
      </c>
      <c r="N531">
        <v>341</v>
      </c>
      <c r="O531" s="3">
        <v>2.0997067448680351</v>
      </c>
      <c r="P531">
        <v>49</v>
      </c>
      <c r="Q531">
        <v>57.928802588996767</v>
      </c>
      <c r="R531">
        <v>0.46680164774837479</v>
      </c>
      <c r="S531">
        <v>30.14511478741769</v>
      </c>
      <c r="T531">
        <v>11.68647185130151</v>
      </c>
      <c r="U531">
        <v>7</v>
      </c>
      <c r="V531">
        <v>4</v>
      </c>
      <c r="W531">
        <v>68</v>
      </c>
      <c r="X531">
        <v>5</v>
      </c>
      <c r="Y531">
        <v>2</v>
      </c>
      <c r="Z531">
        <v>2216</v>
      </c>
      <c r="AA531">
        <v>980</v>
      </c>
    </row>
    <row r="532" spans="1:27">
      <c r="A532">
        <v>34</v>
      </c>
      <c r="B532">
        <v>0</v>
      </c>
      <c r="C532">
        <v>32.873109796186718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95</v>
      </c>
      <c r="M532">
        <v>24</v>
      </c>
      <c r="N532">
        <v>6</v>
      </c>
      <c r="O532" s="4">
        <v>4</v>
      </c>
      <c r="P532">
        <v>11</v>
      </c>
      <c r="Q532">
        <v>68.571428571428569</v>
      </c>
      <c r="R532">
        <v>1.8717222074449731</v>
      </c>
      <c r="S532">
        <v>31.69809949710061</v>
      </c>
      <c r="T532">
        <v>3.9210233606731411</v>
      </c>
      <c r="U532">
        <v>11</v>
      </c>
      <c r="V532">
        <v>3</v>
      </c>
      <c r="W532">
        <v>55</v>
      </c>
      <c r="X532">
        <v>36</v>
      </c>
      <c r="Y532">
        <v>9</v>
      </c>
      <c r="Z532">
        <v>138</v>
      </c>
      <c r="AA532">
        <v>103</v>
      </c>
    </row>
    <row r="533" spans="1:27" hidden="1">
      <c r="A533">
        <v>40</v>
      </c>
      <c r="B533">
        <v>0</v>
      </c>
      <c r="C533">
        <v>21.631148854350261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89</v>
      </c>
      <c r="M533">
        <v>207</v>
      </c>
      <c r="N533">
        <v>282</v>
      </c>
      <c r="O533" s="3">
        <v>0.73404255319148937</v>
      </c>
      <c r="P533">
        <v>28</v>
      </c>
      <c r="Q533">
        <v>39.579349904397702</v>
      </c>
      <c r="R533">
        <v>0.95414703267967627</v>
      </c>
      <c r="S533">
        <v>30.853576456478802</v>
      </c>
      <c r="T533">
        <v>8.6653122128259987</v>
      </c>
      <c r="U533">
        <v>4</v>
      </c>
      <c r="V533">
        <v>14</v>
      </c>
      <c r="W533">
        <v>54</v>
      </c>
      <c r="X533">
        <v>3</v>
      </c>
      <c r="Y533">
        <v>3</v>
      </c>
      <c r="Z533">
        <v>847</v>
      </c>
      <c r="AA533">
        <v>324</v>
      </c>
    </row>
    <row r="534" spans="1:27" hidden="1">
      <c r="A534">
        <v>37</v>
      </c>
      <c r="B534">
        <v>0</v>
      </c>
      <c r="C534">
        <v>19.948059768903612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77</v>
      </c>
      <c r="M534">
        <v>459</v>
      </c>
      <c r="N534">
        <v>316</v>
      </c>
      <c r="O534" s="3">
        <v>1.4525316455696202</v>
      </c>
      <c r="P534">
        <v>37</v>
      </c>
      <c r="Q534">
        <v>56.112469437652813</v>
      </c>
      <c r="R534">
        <v>0.49935021438615779</v>
      </c>
      <c r="S534">
        <v>29.6127929650787</v>
      </c>
      <c r="T534">
        <v>9.9470599234203068</v>
      </c>
      <c r="U534">
        <v>2</v>
      </c>
      <c r="V534">
        <v>13</v>
      </c>
      <c r="W534">
        <v>59</v>
      </c>
      <c r="X534">
        <v>11</v>
      </c>
      <c r="Y534">
        <v>0</v>
      </c>
      <c r="Z534">
        <v>1358</v>
      </c>
      <c r="AA534">
        <v>540</v>
      </c>
    </row>
    <row r="535" spans="1:27">
      <c r="A535">
        <v>35</v>
      </c>
      <c r="B535">
        <v>0</v>
      </c>
      <c r="C535">
        <v>38.954293628808863</v>
      </c>
      <c r="D535">
        <v>0</v>
      </c>
      <c r="E535">
        <v>0</v>
      </c>
      <c r="F535">
        <v>1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83</v>
      </c>
      <c r="M535">
        <v>68</v>
      </c>
      <c r="N535">
        <v>16</v>
      </c>
      <c r="O535" s="4">
        <v>4.25</v>
      </c>
      <c r="P535">
        <v>18</v>
      </c>
      <c r="Q535">
        <v>74.72527472527473</v>
      </c>
      <c r="R535">
        <v>1.3740430959020169</v>
      </c>
      <c r="S535">
        <v>31.591878990878399</v>
      </c>
      <c r="T535">
        <v>5.8873771428571411</v>
      </c>
      <c r="U535">
        <v>20</v>
      </c>
      <c r="V535">
        <v>24</v>
      </c>
      <c r="W535">
        <v>84</v>
      </c>
      <c r="X535">
        <v>46</v>
      </c>
      <c r="Y535">
        <v>33</v>
      </c>
      <c r="Z535">
        <v>329</v>
      </c>
      <c r="AA535">
        <v>238</v>
      </c>
    </row>
    <row r="536" spans="1:27" hidden="1">
      <c r="A536">
        <v>37</v>
      </c>
      <c r="B536">
        <v>0</v>
      </c>
      <c r="C536">
        <v>22.189349112426029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85</v>
      </c>
      <c r="M536">
        <v>274</v>
      </c>
      <c r="N536">
        <v>155</v>
      </c>
      <c r="O536" s="3">
        <v>1.767741935483871</v>
      </c>
      <c r="P536">
        <v>28</v>
      </c>
      <c r="Q536">
        <v>60.352422907488993</v>
      </c>
      <c r="R536">
        <v>0.42429014289113148</v>
      </c>
      <c r="S536">
        <v>30.369094927760329</v>
      </c>
      <c r="T536">
        <v>6.832833480712627</v>
      </c>
      <c r="U536">
        <v>6</v>
      </c>
      <c r="V536">
        <v>17</v>
      </c>
      <c r="W536">
        <v>58</v>
      </c>
      <c r="X536">
        <v>18</v>
      </c>
      <c r="Y536">
        <v>7</v>
      </c>
      <c r="Z536">
        <v>838</v>
      </c>
      <c r="AA536">
        <v>384</v>
      </c>
    </row>
    <row r="537" spans="1:27" hidden="1">
      <c r="A537">
        <v>40</v>
      </c>
      <c r="B537">
        <v>0</v>
      </c>
      <c r="C537">
        <v>22.506925207756229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76</v>
      </c>
      <c r="M537">
        <v>546</v>
      </c>
      <c r="N537">
        <v>352</v>
      </c>
      <c r="O537" s="3">
        <v>1.5511363636363635</v>
      </c>
      <c r="P537">
        <v>43</v>
      </c>
      <c r="Q537">
        <v>57.053291536050153</v>
      </c>
      <c r="R537">
        <v>0.37726004284491421</v>
      </c>
      <c r="S537">
        <v>30.50855682009858</v>
      </c>
      <c r="T537">
        <v>10.55932451821637</v>
      </c>
      <c r="U537">
        <v>8</v>
      </c>
      <c r="V537">
        <v>14</v>
      </c>
      <c r="W537">
        <v>63</v>
      </c>
      <c r="X537">
        <v>12</v>
      </c>
      <c r="Y537">
        <v>6</v>
      </c>
      <c r="Z537">
        <v>1972</v>
      </c>
      <c r="AA537">
        <v>1015</v>
      </c>
    </row>
    <row r="538" spans="1:27" hidden="1">
      <c r="A538">
        <v>26</v>
      </c>
      <c r="B538">
        <v>0</v>
      </c>
      <c r="C538">
        <v>19.53125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87</v>
      </c>
      <c r="M538">
        <v>876</v>
      </c>
      <c r="N538">
        <v>259</v>
      </c>
      <c r="O538" s="4">
        <v>3.3822393822393821</v>
      </c>
      <c r="P538">
        <v>42</v>
      </c>
      <c r="Q538">
        <v>72.757475083056477</v>
      </c>
      <c r="R538">
        <v>0.99954797322327427</v>
      </c>
      <c r="S538">
        <v>30.060568004593829</v>
      </c>
      <c r="T538">
        <v>10.83447088472159</v>
      </c>
      <c r="U538">
        <v>6</v>
      </c>
      <c r="V538">
        <v>11</v>
      </c>
      <c r="W538">
        <v>64</v>
      </c>
      <c r="X538">
        <v>18</v>
      </c>
      <c r="Y538">
        <v>7</v>
      </c>
      <c r="Z538">
        <v>1815</v>
      </c>
      <c r="AA538">
        <v>611</v>
      </c>
    </row>
    <row r="539" spans="1:27" hidden="1">
      <c r="A539">
        <v>31</v>
      </c>
      <c r="B539">
        <v>0</v>
      </c>
      <c r="C539">
        <v>26.5625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86</v>
      </c>
      <c r="M539">
        <v>384</v>
      </c>
      <c r="N539">
        <v>64</v>
      </c>
      <c r="O539" s="3">
        <v>6</v>
      </c>
      <c r="P539">
        <v>33</v>
      </c>
      <c r="Q539">
        <v>80.84210526315789</v>
      </c>
      <c r="R539">
        <v>1.240606859565166</v>
      </c>
      <c r="S539">
        <v>31.520985853997601</v>
      </c>
      <c r="T539">
        <v>7.7268613128976291</v>
      </c>
      <c r="U539">
        <v>6</v>
      </c>
      <c r="V539">
        <v>9</v>
      </c>
      <c r="W539">
        <v>49</v>
      </c>
      <c r="X539">
        <v>1</v>
      </c>
      <c r="Y539">
        <v>6</v>
      </c>
      <c r="Z539">
        <v>1118</v>
      </c>
      <c r="AA539">
        <v>643</v>
      </c>
    </row>
    <row r="540" spans="1:27" hidden="1">
      <c r="A540">
        <v>47</v>
      </c>
      <c r="B540">
        <v>0</v>
      </c>
      <c r="C540">
        <v>29.01744719926538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90</v>
      </c>
      <c r="M540">
        <v>154</v>
      </c>
      <c r="N540">
        <v>111</v>
      </c>
      <c r="O540" s="3">
        <v>1.3873873873873874</v>
      </c>
      <c r="P540">
        <v>21</v>
      </c>
      <c r="Q540">
        <v>51.333333333333343</v>
      </c>
      <c r="R540">
        <v>0.4184307101266902</v>
      </c>
      <c r="S540">
        <v>31.5864402876364</v>
      </c>
      <c r="T540">
        <v>5.8162807949893249</v>
      </c>
      <c r="U540">
        <v>4</v>
      </c>
      <c r="V540">
        <v>8</v>
      </c>
      <c r="W540">
        <v>54</v>
      </c>
      <c r="X540">
        <v>7</v>
      </c>
      <c r="Y540">
        <v>5</v>
      </c>
      <c r="Z540">
        <v>522</v>
      </c>
      <c r="AA540">
        <v>222</v>
      </c>
    </row>
    <row r="541" spans="1:27" hidden="1">
      <c r="A541">
        <v>34</v>
      </c>
      <c r="B541">
        <v>0</v>
      </c>
      <c r="C541">
        <v>19.62826470116968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96</v>
      </c>
      <c r="M541">
        <v>144</v>
      </c>
      <c r="N541">
        <v>37</v>
      </c>
      <c r="O541" s="3">
        <v>3.8918918918918921</v>
      </c>
      <c r="P541">
        <v>22</v>
      </c>
      <c r="Q541">
        <v>73.469387755102048</v>
      </c>
      <c r="R541">
        <v>1.2455130267322061</v>
      </c>
      <c r="S541">
        <v>29.128382407414389</v>
      </c>
      <c r="T541">
        <v>5.8987928751803747</v>
      </c>
      <c r="U541">
        <v>6</v>
      </c>
      <c r="V541">
        <v>53</v>
      </c>
      <c r="W541">
        <v>52</v>
      </c>
      <c r="X541">
        <v>6</v>
      </c>
      <c r="Y541">
        <v>3</v>
      </c>
      <c r="Z541">
        <v>654</v>
      </c>
      <c r="AA541">
        <v>458</v>
      </c>
    </row>
    <row r="542" spans="1:27" hidden="1">
      <c r="A542">
        <v>45</v>
      </c>
      <c r="B542">
        <v>0</v>
      </c>
      <c r="C542">
        <v>26.222222222222221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111</v>
      </c>
      <c r="M542">
        <v>4660</v>
      </c>
      <c r="N542">
        <v>14029</v>
      </c>
      <c r="O542" s="3">
        <v>0.33216907833772896</v>
      </c>
      <c r="P542">
        <v>193</v>
      </c>
      <c r="Q542">
        <v>13.053586935208269</v>
      </c>
      <c r="R542">
        <v>1.002402443724477</v>
      </c>
      <c r="S542">
        <v>29.147284562617919</v>
      </c>
      <c r="T542">
        <v>34.751425277777813</v>
      </c>
      <c r="U542">
        <v>6</v>
      </c>
      <c r="V542">
        <v>9</v>
      </c>
      <c r="W542">
        <v>37</v>
      </c>
      <c r="X542">
        <v>2</v>
      </c>
      <c r="Y542">
        <v>0</v>
      </c>
      <c r="Z542">
        <v>36869</v>
      </c>
      <c r="AA542">
        <v>1170</v>
      </c>
    </row>
    <row r="543" spans="1:27" hidden="1">
      <c r="A543">
        <v>30</v>
      </c>
      <c r="B543">
        <v>0</v>
      </c>
      <c r="C543">
        <v>24.53896490184415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86</v>
      </c>
      <c r="M543">
        <v>491</v>
      </c>
      <c r="N543">
        <v>654</v>
      </c>
      <c r="O543" s="3">
        <v>0.75076452599388377</v>
      </c>
      <c r="P543">
        <v>39</v>
      </c>
      <c r="Q543">
        <v>40.545004128819158</v>
      </c>
      <c r="R543">
        <v>0.49500709917779218</v>
      </c>
      <c r="S543">
        <v>30.326205614529471</v>
      </c>
      <c r="T543">
        <v>10.54661389437711</v>
      </c>
      <c r="U543">
        <v>6</v>
      </c>
      <c r="V543">
        <v>29</v>
      </c>
      <c r="W543">
        <v>60</v>
      </c>
      <c r="X543">
        <v>9</v>
      </c>
      <c r="Y543">
        <v>8</v>
      </c>
      <c r="Z543">
        <v>1690</v>
      </c>
      <c r="AA543">
        <v>479</v>
      </c>
    </row>
    <row r="544" spans="1:27" hidden="1">
      <c r="A544">
        <v>30</v>
      </c>
      <c r="B544">
        <v>0</v>
      </c>
      <c r="C544">
        <v>19.467401285583101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64</v>
      </c>
      <c r="M544">
        <v>169</v>
      </c>
      <c r="N544">
        <v>122</v>
      </c>
      <c r="O544" s="3">
        <v>1.3852459016393444</v>
      </c>
      <c r="P544">
        <v>40</v>
      </c>
      <c r="Q544">
        <v>53.993610223642172</v>
      </c>
      <c r="R544">
        <v>1.226255346167249</v>
      </c>
      <c r="S544">
        <v>29.237898518186839</v>
      </c>
      <c r="T544">
        <v>8.1690408731522126</v>
      </c>
      <c r="U544">
        <v>0</v>
      </c>
      <c r="V544">
        <v>15</v>
      </c>
      <c r="W544">
        <v>50</v>
      </c>
      <c r="X544">
        <v>2</v>
      </c>
      <c r="Y544">
        <v>0</v>
      </c>
      <c r="Z544">
        <v>1603</v>
      </c>
      <c r="AA544">
        <v>1290</v>
      </c>
    </row>
    <row r="545" spans="1:27" hidden="1">
      <c r="A545">
        <v>53</v>
      </c>
      <c r="B545">
        <v>1</v>
      </c>
      <c r="C545">
        <v>25.03991871098853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67</v>
      </c>
      <c r="M545">
        <v>234</v>
      </c>
      <c r="N545">
        <v>63</v>
      </c>
      <c r="O545" s="3">
        <v>3.7142857142857144</v>
      </c>
      <c r="P545">
        <v>24</v>
      </c>
      <c r="Q545">
        <v>76.721311475409834</v>
      </c>
      <c r="R545">
        <v>1.444184954532052</v>
      </c>
      <c r="S545">
        <v>30.687808649984991</v>
      </c>
      <c r="T545">
        <v>6.1280725739783124</v>
      </c>
      <c r="U545">
        <v>0</v>
      </c>
      <c r="V545">
        <v>11</v>
      </c>
      <c r="W545">
        <v>50.667562829419829</v>
      </c>
      <c r="X545">
        <v>15</v>
      </c>
      <c r="Y545">
        <v>2</v>
      </c>
      <c r="Z545">
        <v>620</v>
      </c>
      <c r="AA545">
        <v>315</v>
      </c>
    </row>
    <row r="546" spans="1:27" hidden="1">
      <c r="A546">
        <v>41</v>
      </c>
      <c r="B546">
        <v>0</v>
      </c>
      <c r="C546">
        <v>22.862368541380881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78</v>
      </c>
      <c r="M546">
        <v>429</v>
      </c>
      <c r="N546">
        <v>180</v>
      </c>
      <c r="O546" s="3">
        <v>2.3833333333333333</v>
      </c>
      <c r="P546">
        <v>49</v>
      </c>
      <c r="Q546">
        <v>63.7444279346211</v>
      </c>
      <c r="R546">
        <v>0.93518247475265215</v>
      </c>
      <c r="S546">
        <v>30.40935030857694</v>
      </c>
      <c r="T546">
        <v>10.71638530963634</v>
      </c>
      <c r="U546">
        <v>3</v>
      </c>
      <c r="V546">
        <v>17</v>
      </c>
      <c r="W546">
        <v>53</v>
      </c>
      <c r="X546">
        <v>0</v>
      </c>
      <c r="Y546">
        <v>1</v>
      </c>
      <c r="Z546">
        <v>2406</v>
      </c>
      <c r="AA546">
        <v>1733</v>
      </c>
    </row>
    <row r="547" spans="1:27" hidden="1">
      <c r="A547">
        <v>25</v>
      </c>
      <c r="B547">
        <v>0</v>
      </c>
      <c r="C547">
        <v>30.818540433925051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82</v>
      </c>
      <c r="M547">
        <v>119</v>
      </c>
      <c r="N547">
        <v>103</v>
      </c>
      <c r="O547" s="3">
        <v>1.1553398058252426</v>
      </c>
      <c r="P547">
        <v>30</v>
      </c>
      <c r="Q547">
        <v>47.222222222222221</v>
      </c>
      <c r="R547">
        <v>0.7770917312359199</v>
      </c>
      <c r="S547">
        <v>31.07984074722788</v>
      </c>
      <c r="T547">
        <v>7.1217106443994602</v>
      </c>
      <c r="U547">
        <v>1</v>
      </c>
      <c r="V547">
        <v>13</v>
      </c>
      <c r="W547">
        <v>51</v>
      </c>
      <c r="X547">
        <v>9</v>
      </c>
      <c r="Y547">
        <v>0</v>
      </c>
      <c r="Z547">
        <v>948</v>
      </c>
      <c r="AA547">
        <v>696</v>
      </c>
    </row>
    <row r="548" spans="1:27" hidden="1">
      <c r="A548">
        <v>53</v>
      </c>
      <c r="B548">
        <v>1</v>
      </c>
      <c r="C548">
        <v>24.609733700642799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65</v>
      </c>
      <c r="M548">
        <v>353</v>
      </c>
      <c r="N548">
        <v>280</v>
      </c>
      <c r="O548" s="4">
        <v>1.2607142857142857</v>
      </c>
      <c r="P548">
        <v>40</v>
      </c>
      <c r="Q548">
        <v>50.791366906474821</v>
      </c>
      <c r="R548">
        <v>0.49109844755640081</v>
      </c>
      <c r="S548">
        <v>29.548383738315401</v>
      </c>
      <c r="T548">
        <v>7.909033653871143</v>
      </c>
      <c r="U548">
        <v>11</v>
      </c>
      <c r="V548">
        <v>34</v>
      </c>
      <c r="W548">
        <v>65</v>
      </c>
      <c r="X548">
        <v>29</v>
      </c>
      <c r="Y548">
        <v>25</v>
      </c>
      <c r="Z548">
        <v>1581</v>
      </c>
      <c r="AA548">
        <v>886</v>
      </c>
    </row>
    <row r="549" spans="1:27" hidden="1">
      <c r="A549">
        <v>51</v>
      </c>
      <c r="B549">
        <v>1</v>
      </c>
      <c r="C549">
        <v>28.293345405160711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76</v>
      </c>
      <c r="M549">
        <v>90</v>
      </c>
      <c r="N549">
        <v>14</v>
      </c>
      <c r="O549" s="3">
        <v>6.4285714285714288</v>
      </c>
      <c r="P549">
        <v>20</v>
      </c>
      <c r="Q549">
        <v>81.081081081081081</v>
      </c>
      <c r="R549">
        <v>1.526903571428573</v>
      </c>
      <c r="S549">
        <v>31.29990978310548</v>
      </c>
      <c r="T549">
        <v>6.1197733663558651</v>
      </c>
      <c r="U549">
        <v>0</v>
      </c>
      <c r="V549">
        <v>2</v>
      </c>
      <c r="W549">
        <v>56</v>
      </c>
      <c r="X549">
        <v>4</v>
      </c>
      <c r="Y549">
        <v>1</v>
      </c>
      <c r="Z549">
        <v>420</v>
      </c>
      <c r="AA549">
        <v>309</v>
      </c>
    </row>
    <row r="550" spans="1:27" hidden="1">
      <c r="A550">
        <v>62</v>
      </c>
      <c r="B550">
        <v>0</v>
      </c>
      <c r="C550">
        <v>22.769438353853939</v>
      </c>
      <c r="D550">
        <v>0</v>
      </c>
      <c r="E550">
        <v>1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112</v>
      </c>
      <c r="M550">
        <v>16</v>
      </c>
      <c r="N550">
        <v>14</v>
      </c>
      <c r="O550" s="4">
        <v>1.1428571428571428</v>
      </c>
      <c r="P550">
        <v>9</v>
      </c>
      <c r="Q550">
        <v>34.042553191489361</v>
      </c>
      <c r="R550">
        <v>0.70253191150040495</v>
      </c>
      <c r="S550">
        <v>32.160775738474783</v>
      </c>
      <c r="T550">
        <v>3.6886874959963309</v>
      </c>
      <c r="U550">
        <v>5</v>
      </c>
      <c r="V550">
        <v>14</v>
      </c>
      <c r="W550">
        <v>77</v>
      </c>
      <c r="X550">
        <v>5</v>
      </c>
      <c r="Y550">
        <v>3</v>
      </c>
      <c r="Z550">
        <v>98</v>
      </c>
      <c r="AA550">
        <v>51</v>
      </c>
    </row>
    <row r="551" spans="1:27" hidden="1">
      <c r="A551">
        <v>33</v>
      </c>
      <c r="B551">
        <v>0</v>
      </c>
      <c r="C551">
        <v>20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75</v>
      </c>
      <c r="M551">
        <v>419</v>
      </c>
      <c r="N551">
        <v>504</v>
      </c>
      <c r="O551" s="3">
        <v>0.83134920634920639</v>
      </c>
      <c r="P551">
        <v>43</v>
      </c>
      <c r="Q551">
        <v>40.679611650485427</v>
      </c>
      <c r="R551">
        <v>0.44060086618507849</v>
      </c>
      <c r="S551">
        <v>29.143502040100159</v>
      </c>
      <c r="T551">
        <v>11.171775091390741</v>
      </c>
      <c r="U551">
        <v>4</v>
      </c>
      <c r="V551">
        <v>5</v>
      </c>
      <c r="W551">
        <v>55</v>
      </c>
      <c r="X551">
        <v>14</v>
      </c>
      <c r="Y551">
        <v>1</v>
      </c>
      <c r="Z551">
        <v>1762</v>
      </c>
      <c r="AA551">
        <v>732</v>
      </c>
    </row>
    <row r="552" spans="1:27" hidden="1">
      <c r="A552">
        <v>48</v>
      </c>
      <c r="B552">
        <v>0</v>
      </c>
      <c r="C552">
        <v>26.666666666666671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65</v>
      </c>
      <c r="M552">
        <v>151</v>
      </c>
      <c r="N552">
        <v>127</v>
      </c>
      <c r="O552" s="3">
        <v>1.188976377952756</v>
      </c>
      <c r="P552">
        <v>26</v>
      </c>
      <c r="Q552">
        <v>49.508196721311478</v>
      </c>
      <c r="R552">
        <v>1.072399803492573</v>
      </c>
      <c r="S552">
        <v>31.04717500323105</v>
      </c>
      <c r="T552">
        <v>6.0026189534974819</v>
      </c>
      <c r="U552">
        <v>1</v>
      </c>
      <c r="V552">
        <v>7</v>
      </c>
      <c r="W552">
        <v>29</v>
      </c>
      <c r="X552">
        <v>0</v>
      </c>
      <c r="Y552">
        <v>0</v>
      </c>
      <c r="Z552">
        <v>799</v>
      </c>
      <c r="AA552">
        <v>494</v>
      </c>
    </row>
    <row r="553" spans="1:27" hidden="1">
      <c r="A553">
        <v>29</v>
      </c>
      <c r="B553">
        <v>1</v>
      </c>
      <c r="C553">
        <v>23.450918219051388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65</v>
      </c>
      <c r="M553">
        <v>953</v>
      </c>
      <c r="N553">
        <v>733</v>
      </c>
      <c r="O553" s="3">
        <v>1.3001364256480219</v>
      </c>
      <c r="P553">
        <v>53</v>
      </c>
      <c r="Q553">
        <v>46.239689471130518</v>
      </c>
      <c r="R553">
        <v>1.4623738307808971</v>
      </c>
      <c r="S553">
        <v>27.418812219050292</v>
      </c>
      <c r="T553">
        <v>12.360335307530949</v>
      </c>
      <c r="U553">
        <v>0</v>
      </c>
      <c r="V553">
        <v>28</v>
      </c>
      <c r="W553">
        <v>48</v>
      </c>
      <c r="X553">
        <v>1</v>
      </c>
      <c r="Y553">
        <v>5</v>
      </c>
      <c r="Z553">
        <v>2744</v>
      </c>
      <c r="AA553">
        <v>683</v>
      </c>
    </row>
    <row r="554" spans="1:27" hidden="1">
      <c r="A554">
        <v>20</v>
      </c>
      <c r="B554">
        <v>1</v>
      </c>
      <c r="C554">
        <v>31.773931855056791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83</v>
      </c>
      <c r="M554">
        <v>258</v>
      </c>
      <c r="N554">
        <v>150</v>
      </c>
      <c r="O554" s="3">
        <v>1.72</v>
      </c>
      <c r="P554">
        <v>31</v>
      </c>
      <c r="Q554">
        <v>55.24625267665953</v>
      </c>
      <c r="R554">
        <v>1.498718886407101</v>
      </c>
      <c r="S554">
        <v>30.887234480249681</v>
      </c>
      <c r="T554">
        <v>7.5937845948550384</v>
      </c>
      <c r="U554">
        <v>0</v>
      </c>
      <c r="V554">
        <v>10</v>
      </c>
      <c r="W554">
        <v>51</v>
      </c>
      <c r="X554">
        <v>1</v>
      </c>
      <c r="Y554">
        <v>0</v>
      </c>
      <c r="Z554">
        <v>985</v>
      </c>
      <c r="AA554">
        <v>518</v>
      </c>
    </row>
    <row r="555" spans="1:27" hidden="1">
      <c r="A555">
        <v>46</v>
      </c>
      <c r="B555">
        <v>1</v>
      </c>
      <c r="C555">
        <v>29.065743944636679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92</v>
      </c>
      <c r="M555">
        <v>33</v>
      </c>
      <c r="N555">
        <v>26</v>
      </c>
      <c r="O555" s="3">
        <v>1.2692307692307692</v>
      </c>
      <c r="P555">
        <v>14</v>
      </c>
      <c r="Q555">
        <v>46.478873239436624</v>
      </c>
      <c r="R555">
        <v>1.051957638602361</v>
      </c>
      <c r="S555">
        <v>31.34494690786709</v>
      </c>
      <c r="T555">
        <v>4.1733742547515362</v>
      </c>
      <c r="U555">
        <v>0</v>
      </c>
      <c r="V555">
        <v>0</v>
      </c>
      <c r="W555">
        <v>27</v>
      </c>
      <c r="X555">
        <v>0</v>
      </c>
      <c r="Y555">
        <v>0</v>
      </c>
      <c r="Z555">
        <v>211</v>
      </c>
      <c r="AA555">
        <v>140</v>
      </c>
    </row>
    <row r="556" spans="1:27" hidden="1">
      <c r="A556">
        <v>32</v>
      </c>
      <c r="B556">
        <v>1</v>
      </c>
      <c r="C556">
        <v>23.458562375266979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71</v>
      </c>
      <c r="M556">
        <v>2201</v>
      </c>
      <c r="N556">
        <v>246</v>
      </c>
      <c r="O556" s="3">
        <v>8.9471544715447155</v>
      </c>
      <c r="P556">
        <v>58</v>
      </c>
      <c r="Q556">
        <v>88.145774929915902</v>
      </c>
      <c r="R556">
        <v>1.9678944011544011</v>
      </c>
      <c r="S556">
        <v>27.552571230727288</v>
      </c>
      <c r="T556">
        <v>11.80785441661631</v>
      </c>
      <c r="U556">
        <v>0</v>
      </c>
      <c r="V556">
        <v>5</v>
      </c>
      <c r="W556">
        <v>32</v>
      </c>
      <c r="X556">
        <v>0</v>
      </c>
      <c r="Y556">
        <v>0</v>
      </c>
      <c r="Z556">
        <v>3406</v>
      </c>
      <c r="AA556">
        <v>909</v>
      </c>
    </row>
    <row r="557" spans="1:27" hidden="1">
      <c r="A557">
        <v>46</v>
      </c>
      <c r="B557">
        <v>0</v>
      </c>
      <c r="C557">
        <v>22.03172568498638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78</v>
      </c>
      <c r="M557">
        <v>475</v>
      </c>
      <c r="N557">
        <v>280</v>
      </c>
      <c r="O557" s="3">
        <v>1.6964285714285714</v>
      </c>
      <c r="P557">
        <v>35</v>
      </c>
      <c r="Q557">
        <v>59.598494353826851</v>
      </c>
      <c r="R557">
        <v>0.92487117017366005</v>
      </c>
      <c r="S557">
        <v>29.533839176179779</v>
      </c>
      <c r="T557">
        <v>9.4345813967374372</v>
      </c>
      <c r="U557">
        <v>0</v>
      </c>
      <c r="V557">
        <v>2</v>
      </c>
      <c r="W557">
        <v>38</v>
      </c>
      <c r="X557">
        <v>2</v>
      </c>
      <c r="Y557">
        <v>0</v>
      </c>
      <c r="Z557">
        <v>1367</v>
      </c>
      <c r="AA557">
        <v>570</v>
      </c>
    </row>
    <row r="558" spans="1:27" hidden="1">
      <c r="A558">
        <v>35</v>
      </c>
      <c r="B558">
        <v>1</v>
      </c>
      <c r="C558">
        <v>30.79584775086505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96</v>
      </c>
      <c r="M558">
        <v>230</v>
      </c>
      <c r="N558">
        <v>65</v>
      </c>
      <c r="O558" s="3">
        <v>3.5384615384615383</v>
      </c>
      <c r="P558">
        <v>23</v>
      </c>
      <c r="Q558">
        <v>72.327044025157235</v>
      </c>
      <c r="R558">
        <v>1.4250534247423099</v>
      </c>
      <c r="S558">
        <v>31.226494907049499</v>
      </c>
      <c r="T558">
        <v>7.0120453545963821</v>
      </c>
      <c r="U558">
        <v>9</v>
      </c>
      <c r="V558">
        <v>24</v>
      </c>
      <c r="W558">
        <v>51</v>
      </c>
      <c r="X558">
        <v>4</v>
      </c>
      <c r="Y558">
        <v>2</v>
      </c>
      <c r="Z558">
        <v>607</v>
      </c>
      <c r="AA558">
        <v>289</v>
      </c>
    </row>
    <row r="559" spans="1:27" hidden="1">
      <c r="A559">
        <v>37</v>
      </c>
      <c r="B559">
        <v>1</v>
      </c>
      <c r="C559">
        <v>20.987654320987652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69</v>
      </c>
      <c r="M559">
        <v>546</v>
      </c>
      <c r="N559">
        <v>137</v>
      </c>
      <c r="O559" s="3">
        <v>3.9854014598540144</v>
      </c>
      <c r="P559">
        <v>54</v>
      </c>
      <c r="Q559">
        <v>75.518672199170126</v>
      </c>
      <c r="R559">
        <v>1.8676969011544009</v>
      </c>
      <c r="S559">
        <v>27.693680998349681</v>
      </c>
      <c r="T559">
        <v>11.063879401355431</v>
      </c>
      <c r="U559">
        <v>1</v>
      </c>
      <c r="V559">
        <v>4</v>
      </c>
      <c r="W559">
        <v>44</v>
      </c>
      <c r="X559">
        <v>2</v>
      </c>
      <c r="Y559">
        <v>0</v>
      </c>
      <c r="Z559">
        <v>3176</v>
      </c>
      <c r="AA559">
        <v>2453</v>
      </c>
    </row>
    <row r="560" spans="1:27" hidden="1">
      <c r="A560">
        <v>38</v>
      </c>
      <c r="B560">
        <v>0</v>
      </c>
      <c r="C560">
        <v>18.25631871475516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93</v>
      </c>
      <c r="M560">
        <v>115</v>
      </c>
      <c r="N560">
        <v>24</v>
      </c>
      <c r="O560" s="3">
        <v>4.791666666666667</v>
      </c>
      <c r="P560">
        <v>24</v>
      </c>
      <c r="Q560">
        <v>72.784810126582272</v>
      </c>
      <c r="R560">
        <v>1.6334680955405541</v>
      </c>
      <c r="S560">
        <v>30.012148731198561</v>
      </c>
      <c r="T560">
        <v>5.8993962905452042</v>
      </c>
      <c r="U560">
        <v>0</v>
      </c>
      <c r="V560">
        <v>3</v>
      </c>
      <c r="W560">
        <v>50</v>
      </c>
      <c r="X560">
        <v>4</v>
      </c>
      <c r="Y560">
        <v>0</v>
      </c>
      <c r="Z560">
        <v>656</v>
      </c>
      <c r="AA560">
        <v>498</v>
      </c>
    </row>
    <row r="561" spans="1:27" hidden="1">
      <c r="A561">
        <v>52</v>
      </c>
      <c r="B561">
        <v>1</v>
      </c>
      <c r="C561">
        <v>27.398175682448461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70</v>
      </c>
      <c r="M561">
        <v>69</v>
      </c>
      <c r="N561">
        <v>132</v>
      </c>
      <c r="O561" s="3">
        <v>0.52272727272727271</v>
      </c>
      <c r="P561">
        <v>23</v>
      </c>
      <c r="Q561">
        <v>24.381625441696109</v>
      </c>
      <c r="R561">
        <v>0.42853684498679628</v>
      </c>
      <c r="S561">
        <v>31.369199452347249</v>
      </c>
      <c r="T561">
        <v>5.7078471116655658</v>
      </c>
      <c r="U561">
        <v>4</v>
      </c>
      <c r="V561">
        <v>0</v>
      </c>
      <c r="W561">
        <v>59</v>
      </c>
      <c r="X561">
        <v>10</v>
      </c>
      <c r="Y561">
        <v>0</v>
      </c>
      <c r="Z561">
        <v>517</v>
      </c>
      <c r="AA561">
        <v>234</v>
      </c>
    </row>
    <row r="562" spans="1:27" hidden="1">
      <c r="A562">
        <v>41</v>
      </c>
      <c r="B562">
        <v>0</v>
      </c>
      <c r="C562">
        <v>23.372576177285321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77</v>
      </c>
      <c r="M562">
        <v>173</v>
      </c>
      <c r="N562">
        <v>118</v>
      </c>
      <c r="O562" s="3">
        <v>1.4661016949152543</v>
      </c>
      <c r="P562">
        <v>24</v>
      </c>
      <c r="Q562">
        <v>50.882352941176471</v>
      </c>
      <c r="R562">
        <v>0.45646498424270882</v>
      </c>
      <c r="S562">
        <v>30.799801119695161</v>
      </c>
      <c r="T562">
        <v>6.8906921685965576</v>
      </c>
      <c r="U562">
        <v>5</v>
      </c>
      <c r="V562">
        <v>4</v>
      </c>
      <c r="W562">
        <v>38</v>
      </c>
      <c r="X562">
        <v>5</v>
      </c>
      <c r="Y562">
        <v>2</v>
      </c>
      <c r="Z562">
        <v>583</v>
      </c>
      <c r="AA562">
        <v>243</v>
      </c>
    </row>
    <row r="563" spans="1:27" hidden="1">
      <c r="A563">
        <v>53</v>
      </c>
      <c r="B563">
        <v>0</v>
      </c>
      <c r="C563">
        <v>32.873109796186718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92</v>
      </c>
      <c r="M563">
        <v>36</v>
      </c>
      <c r="N563">
        <v>65</v>
      </c>
      <c r="O563" s="3">
        <v>0.55384615384615388</v>
      </c>
      <c r="P563">
        <v>12</v>
      </c>
      <c r="Q563">
        <v>33.027522935779807</v>
      </c>
      <c r="R563">
        <v>0.91389954194459122</v>
      </c>
      <c r="S563">
        <v>31.363032416351441</v>
      </c>
      <c r="T563">
        <v>5.1667799598772879</v>
      </c>
      <c r="U563">
        <v>4</v>
      </c>
      <c r="V563">
        <v>5</v>
      </c>
      <c r="W563">
        <v>38</v>
      </c>
      <c r="X563">
        <v>2</v>
      </c>
      <c r="Y563">
        <v>1</v>
      </c>
      <c r="Z563">
        <v>179</v>
      </c>
      <c r="AA563">
        <v>70</v>
      </c>
    </row>
    <row r="564" spans="1:27" hidden="1">
      <c r="A564">
        <v>54</v>
      </c>
      <c r="B564">
        <v>0</v>
      </c>
      <c r="C564">
        <v>25.96952908587258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76</v>
      </c>
      <c r="M564">
        <v>26</v>
      </c>
      <c r="N564">
        <v>125</v>
      </c>
      <c r="O564" s="3">
        <v>0.20799999999999999</v>
      </c>
      <c r="P564">
        <v>17</v>
      </c>
      <c r="Q564">
        <v>14.054054054054051</v>
      </c>
      <c r="R564">
        <v>0.38451592526508782</v>
      </c>
      <c r="S564">
        <v>31.492586990027519</v>
      </c>
      <c r="T564">
        <v>4.8552217454782678</v>
      </c>
      <c r="U564">
        <v>3</v>
      </c>
      <c r="V564">
        <v>6</v>
      </c>
      <c r="W564">
        <v>49</v>
      </c>
      <c r="X564">
        <v>11</v>
      </c>
      <c r="Y564">
        <v>4</v>
      </c>
      <c r="Z564">
        <v>295</v>
      </c>
      <c r="AA564">
        <v>110</v>
      </c>
    </row>
    <row r="565" spans="1:27" hidden="1">
      <c r="A565">
        <v>52</v>
      </c>
      <c r="B565">
        <v>1</v>
      </c>
      <c r="C565">
        <v>29.75274443418488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73</v>
      </c>
      <c r="M565">
        <v>35</v>
      </c>
      <c r="N565">
        <v>282</v>
      </c>
      <c r="O565" s="3">
        <v>0.12411347517730496</v>
      </c>
      <c r="P565">
        <v>21</v>
      </c>
      <c r="Q565">
        <v>10.51051051051051</v>
      </c>
      <c r="R565">
        <v>0.92555138221132094</v>
      </c>
      <c r="S565">
        <v>31.41166588601175</v>
      </c>
      <c r="T565">
        <v>7.149195231298739</v>
      </c>
      <c r="U565">
        <v>6</v>
      </c>
      <c r="V565">
        <v>20</v>
      </c>
      <c r="W565">
        <v>54</v>
      </c>
      <c r="X565">
        <v>0</v>
      </c>
      <c r="Y565">
        <v>4</v>
      </c>
      <c r="Z565">
        <v>456</v>
      </c>
      <c r="AA565">
        <v>123</v>
      </c>
    </row>
    <row r="566" spans="1:27" hidden="1">
      <c r="A566">
        <v>45</v>
      </c>
      <c r="B566">
        <v>0</v>
      </c>
      <c r="C566">
        <v>20.028841531805799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68</v>
      </c>
      <c r="M566">
        <v>185</v>
      </c>
      <c r="N566">
        <v>92</v>
      </c>
      <c r="O566" s="3">
        <v>2.0108695652173911</v>
      </c>
      <c r="P566">
        <v>24</v>
      </c>
      <c r="Q566">
        <v>59.677419354838712</v>
      </c>
      <c r="R566">
        <v>0.62583772724209064</v>
      </c>
      <c r="S566">
        <v>30.000031646939149</v>
      </c>
      <c r="T566">
        <v>6.5050187225390497</v>
      </c>
      <c r="U566">
        <v>2</v>
      </c>
      <c r="V566">
        <v>4</v>
      </c>
      <c r="W566">
        <v>57</v>
      </c>
      <c r="X566">
        <v>5</v>
      </c>
      <c r="Y566">
        <v>6</v>
      </c>
      <c r="Z566">
        <v>614</v>
      </c>
      <c r="AA566">
        <v>304</v>
      </c>
    </row>
    <row r="567" spans="1:27" hidden="1">
      <c r="A567">
        <v>22</v>
      </c>
      <c r="B567">
        <v>0</v>
      </c>
      <c r="C567">
        <v>19.571681282697881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94</v>
      </c>
      <c r="M567">
        <v>701</v>
      </c>
      <c r="N567">
        <v>760</v>
      </c>
      <c r="O567" s="3">
        <v>0.92236842105263162</v>
      </c>
      <c r="P567">
        <v>53</v>
      </c>
      <c r="Q567">
        <v>31.805807622504538</v>
      </c>
      <c r="R567">
        <v>0.7137652383525771</v>
      </c>
      <c r="S567">
        <v>28.520371989712739</v>
      </c>
      <c r="T567">
        <v>13.94070792710944</v>
      </c>
      <c r="U567">
        <v>3</v>
      </c>
      <c r="V567">
        <v>4</v>
      </c>
      <c r="W567">
        <v>43</v>
      </c>
      <c r="X567">
        <v>4</v>
      </c>
      <c r="Y567">
        <v>2</v>
      </c>
      <c r="Z567">
        <v>2680</v>
      </c>
      <c r="AA567">
        <v>476</v>
      </c>
    </row>
    <row r="568" spans="1:27" hidden="1">
      <c r="A568">
        <v>48</v>
      </c>
      <c r="B568">
        <v>0</v>
      </c>
      <c r="C568">
        <v>30.427197857925272</v>
      </c>
      <c r="D568">
        <v>0</v>
      </c>
      <c r="E568">
        <v>1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97</v>
      </c>
      <c r="M568">
        <v>30</v>
      </c>
      <c r="N568">
        <v>6</v>
      </c>
      <c r="O568" s="3">
        <v>5</v>
      </c>
      <c r="P568">
        <v>11</v>
      </c>
      <c r="Q568">
        <v>71.428571428571431</v>
      </c>
      <c r="R568">
        <v>1.413463372987612</v>
      </c>
      <c r="S568">
        <v>32.043281746346899</v>
      </c>
      <c r="T568">
        <v>4.316403015873016</v>
      </c>
      <c r="U568">
        <v>26</v>
      </c>
      <c r="V568">
        <v>33</v>
      </c>
      <c r="W568">
        <v>72</v>
      </c>
      <c r="X568">
        <v>19</v>
      </c>
      <c r="Y568">
        <v>32</v>
      </c>
      <c r="Z568">
        <v>200</v>
      </c>
      <c r="AA568">
        <v>158</v>
      </c>
    </row>
    <row r="569" spans="1:27" hidden="1">
      <c r="A569">
        <v>41</v>
      </c>
      <c r="B569">
        <v>0</v>
      </c>
      <c r="C569">
        <v>19.77769866698311</v>
      </c>
      <c r="D569">
        <v>0</v>
      </c>
      <c r="E569">
        <v>1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53</v>
      </c>
      <c r="M569">
        <v>454</v>
      </c>
      <c r="N569">
        <v>619</v>
      </c>
      <c r="O569" s="3">
        <v>0.7334410339256866</v>
      </c>
      <c r="P569">
        <v>49</v>
      </c>
      <c r="Q569">
        <v>37.000814995925019</v>
      </c>
      <c r="R569">
        <v>1.9613236391641771</v>
      </c>
      <c r="S569">
        <v>28.110579005805079</v>
      </c>
      <c r="T569">
        <v>8.9878254829909032</v>
      </c>
      <c r="U569">
        <v>5</v>
      </c>
      <c r="V569">
        <v>18</v>
      </c>
      <c r="W569">
        <v>63</v>
      </c>
      <c r="X569">
        <v>10</v>
      </c>
      <c r="Y569">
        <v>8</v>
      </c>
      <c r="Z569">
        <v>2177</v>
      </c>
      <c r="AA569">
        <v>950</v>
      </c>
    </row>
    <row r="570" spans="1:27">
      <c r="A570">
        <v>34</v>
      </c>
      <c r="B570">
        <v>0</v>
      </c>
      <c r="C570">
        <v>19.675166853130669</v>
      </c>
      <c r="D570">
        <v>0</v>
      </c>
      <c r="E570">
        <v>1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73</v>
      </c>
      <c r="M570">
        <v>421</v>
      </c>
      <c r="N570">
        <v>251</v>
      </c>
      <c r="O570" s="3">
        <v>1.6772908366533865</v>
      </c>
      <c r="P570">
        <v>51</v>
      </c>
      <c r="Q570">
        <v>52.298136645962742</v>
      </c>
      <c r="R570">
        <v>0.36732769806799948</v>
      </c>
      <c r="S570">
        <v>31.102689172602151</v>
      </c>
      <c r="T570">
        <v>9.9590870176402788</v>
      </c>
      <c r="U570">
        <v>8</v>
      </c>
      <c r="V570">
        <v>25</v>
      </c>
      <c r="W570">
        <v>54</v>
      </c>
      <c r="X570">
        <v>25</v>
      </c>
      <c r="Y570">
        <v>15</v>
      </c>
      <c r="Z570">
        <v>2509</v>
      </c>
      <c r="AA570">
        <v>1704</v>
      </c>
    </row>
    <row r="571" spans="1:27">
      <c r="A571">
        <v>33</v>
      </c>
      <c r="B571">
        <v>1</v>
      </c>
      <c r="C571">
        <v>23.547880690737831</v>
      </c>
      <c r="D571">
        <v>0</v>
      </c>
      <c r="E571">
        <v>1</v>
      </c>
      <c r="F571">
        <v>1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57</v>
      </c>
      <c r="M571">
        <v>424</v>
      </c>
      <c r="N571">
        <v>748</v>
      </c>
      <c r="O571" s="3">
        <v>0.5668449197860963</v>
      </c>
      <c r="P571">
        <v>56</v>
      </c>
      <c r="Q571">
        <v>33.021806853582547</v>
      </c>
      <c r="R571">
        <v>1.9040576128129281</v>
      </c>
      <c r="S571">
        <v>28.169109489074302</v>
      </c>
      <c r="T571">
        <v>9.4423315902759821</v>
      </c>
      <c r="U571">
        <v>12</v>
      </c>
      <c r="V571">
        <v>10</v>
      </c>
      <c r="W571">
        <v>79</v>
      </c>
      <c r="X571">
        <v>42</v>
      </c>
      <c r="Y571">
        <v>13</v>
      </c>
      <c r="Z571">
        <v>2852</v>
      </c>
      <c r="AA571">
        <v>1568</v>
      </c>
    </row>
    <row r="572" spans="1:27" hidden="1">
      <c r="A572">
        <v>43</v>
      </c>
      <c r="B572">
        <v>1</v>
      </c>
      <c r="C572">
        <v>18.938775510204081</v>
      </c>
      <c r="D572">
        <v>0</v>
      </c>
      <c r="E572">
        <v>1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50</v>
      </c>
      <c r="M572">
        <v>0</v>
      </c>
      <c r="N572">
        <v>0</v>
      </c>
      <c r="O572" s="3" t="e">
        <v>#DIV/0!</v>
      </c>
      <c r="P572">
        <v>379</v>
      </c>
      <c r="Q572">
        <v>62.468438260296708</v>
      </c>
      <c r="R572">
        <v>2.1401194409261599</v>
      </c>
      <c r="S572">
        <v>29.01024279281928</v>
      </c>
      <c r="T572">
        <v>6.7240466259230969</v>
      </c>
      <c r="U572">
        <v>1</v>
      </c>
      <c r="V572">
        <v>25</v>
      </c>
      <c r="W572">
        <v>71</v>
      </c>
      <c r="X572">
        <v>7</v>
      </c>
      <c r="Y572">
        <v>4</v>
      </c>
      <c r="Z572">
        <v>0</v>
      </c>
      <c r="AA572">
        <v>0</v>
      </c>
    </row>
    <row r="573" spans="1:27">
      <c r="A573">
        <v>39</v>
      </c>
      <c r="B573">
        <v>0</v>
      </c>
      <c r="C573">
        <v>19.839659479299119</v>
      </c>
      <c r="D573">
        <v>0</v>
      </c>
      <c r="E573">
        <v>1</v>
      </c>
      <c r="F573">
        <v>1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81</v>
      </c>
      <c r="M573">
        <v>562</v>
      </c>
      <c r="N573">
        <v>100</v>
      </c>
      <c r="O573" s="3">
        <v>5.62</v>
      </c>
      <c r="P573">
        <v>55</v>
      </c>
      <c r="Q573">
        <v>81.804949053857356</v>
      </c>
      <c r="R573">
        <v>1.1971986643825681</v>
      </c>
      <c r="S573">
        <v>26.828835644245832</v>
      </c>
      <c r="T573">
        <v>10.94361142975445</v>
      </c>
      <c r="U573">
        <v>20</v>
      </c>
      <c r="V573">
        <v>21</v>
      </c>
      <c r="W573">
        <v>51</v>
      </c>
      <c r="X573">
        <v>33</v>
      </c>
      <c r="Y573">
        <v>38</v>
      </c>
      <c r="Z573">
        <v>3404</v>
      </c>
      <c r="AA573">
        <v>2717</v>
      </c>
    </row>
    <row r="574" spans="1:27" hidden="1">
      <c r="A574">
        <v>61</v>
      </c>
      <c r="B574">
        <v>0</v>
      </c>
      <c r="C574">
        <v>20.34279778393352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58</v>
      </c>
      <c r="M574">
        <v>106</v>
      </c>
      <c r="N574">
        <v>304</v>
      </c>
      <c r="O574" s="3">
        <v>0.34868421052631576</v>
      </c>
      <c r="P574">
        <v>33</v>
      </c>
      <c r="Q574">
        <v>22.362869198312239</v>
      </c>
      <c r="R574">
        <v>1.8840812853454501</v>
      </c>
      <c r="S574">
        <v>27.779737156675779</v>
      </c>
      <c r="T574">
        <v>6.7052159916273784</v>
      </c>
      <c r="U574">
        <v>14</v>
      </c>
      <c r="V574">
        <v>17</v>
      </c>
      <c r="W574">
        <v>50</v>
      </c>
      <c r="X574">
        <v>14</v>
      </c>
      <c r="Y574">
        <v>16</v>
      </c>
      <c r="Z574">
        <v>996</v>
      </c>
      <c r="AA574">
        <v>522</v>
      </c>
    </row>
    <row r="575" spans="1:27">
      <c r="A575">
        <v>66</v>
      </c>
      <c r="B575">
        <v>0</v>
      </c>
      <c r="C575">
        <v>21.786492374727668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68</v>
      </c>
      <c r="M575">
        <v>29</v>
      </c>
      <c r="N575">
        <v>50</v>
      </c>
      <c r="O575" s="3">
        <v>0.57999999999999996</v>
      </c>
      <c r="P575">
        <v>13</v>
      </c>
      <c r="Q575">
        <v>29</v>
      </c>
      <c r="R575">
        <v>0.38484830328752972</v>
      </c>
      <c r="S575">
        <v>30.9572880383651</v>
      </c>
      <c r="T575">
        <v>3.8024013313262799</v>
      </c>
      <c r="U575">
        <v>5</v>
      </c>
      <c r="V575">
        <v>11</v>
      </c>
      <c r="W575">
        <v>80</v>
      </c>
      <c r="X575">
        <v>31</v>
      </c>
      <c r="Y575">
        <v>9</v>
      </c>
      <c r="Z575">
        <v>176</v>
      </c>
      <c r="AA575">
        <v>76</v>
      </c>
    </row>
    <row r="576" spans="1:27" hidden="1">
      <c r="A576">
        <v>37</v>
      </c>
      <c r="B576">
        <v>0</v>
      </c>
      <c r="C576">
        <v>27.00513097488523</v>
      </c>
      <c r="D576">
        <v>0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70</v>
      </c>
      <c r="M576">
        <v>568</v>
      </c>
      <c r="N576">
        <v>998</v>
      </c>
      <c r="O576" s="3">
        <v>0.56913827655310623</v>
      </c>
      <c r="P576">
        <v>57</v>
      </c>
      <c r="Q576">
        <v>34.718826405867972</v>
      </c>
      <c r="R576">
        <v>0.45545962704279358</v>
      </c>
      <c r="S576">
        <v>30.308289087517451</v>
      </c>
      <c r="T576">
        <v>12.65144615668877</v>
      </c>
      <c r="U576">
        <v>7</v>
      </c>
      <c r="V576">
        <v>19</v>
      </c>
      <c r="W576">
        <v>45</v>
      </c>
      <c r="X576">
        <v>14</v>
      </c>
      <c r="Y576">
        <v>3</v>
      </c>
      <c r="Z576">
        <v>3033</v>
      </c>
      <c r="AA576">
        <v>1397</v>
      </c>
    </row>
    <row r="577" spans="1:27" hidden="1">
      <c r="A577">
        <v>25</v>
      </c>
      <c r="B577">
        <v>1</v>
      </c>
      <c r="C577">
        <v>22.058051188683869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89</v>
      </c>
      <c r="M577">
        <v>279</v>
      </c>
      <c r="N577">
        <v>160</v>
      </c>
      <c r="O577" s="3">
        <v>1.7437499999999999</v>
      </c>
      <c r="P577">
        <v>29</v>
      </c>
      <c r="Q577">
        <v>56.136820925553323</v>
      </c>
      <c r="R577">
        <v>0.46719943431680427</v>
      </c>
      <c r="S577">
        <v>31.19087628278622</v>
      </c>
      <c r="T577">
        <v>7.0235432758226697</v>
      </c>
      <c r="U577">
        <v>7</v>
      </c>
      <c r="V577">
        <v>14</v>
      </c>
      <c r="W577">
        <v>61</v>
      </c>
      <c r="X577">
        <v>22</v>
      </c>
      <c r="Y577">
        <v>7</v>
      </c>
      <c r="Z577">
        <v>941</v>
      </c>
      <c r="AA577">
        <v>444</v>
      </c>
    </row>
    <row r="578" spans="1:27">
      <c r="A578">
        <v>66</v>
      </c>
      <c r="B578">
        <v>1</v>
      </c>
      <c r="C578">
        <v>27.681660899653981</v>
      </c>
      <c r="D578">
        <v>0</v>
      </c>
      <c r="E578">
        <v>1</v>
      </c>
      <c r="F578">
        <v>1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63</v>
      </c>
      <c r="M578">
        <v>613</v>
      </c>
      <c r="N578">
        <v>171</v>
      </c>
      <c r="O578" s="3">
        <v>3.5847953216374271</v>
      </c>
      <c r="P578">
        <v>42</v>
      </c>
      <c r="Q578">
        <v>75.866336633663366</v>
      </c>
      <c r="R578">
        <v>0.98137514927908032</v>
      </c>
      <c r="S578">
        <v>30.72028837104272</v>
      </c>
      <c r="T578">
        <v>7.9689416095158556</v>
      </c>
      <c r="U578">
        <v>6</v>
      </c>
      <c r="V578">
        <v>43</v>
      </c>
      <c r="W578">
        <v>68</v>
      </c>
      <c r="X578">
        <v>10</v>
      </c>
      <c r="Y578">
        <v>15</v>
      </c>
      <c r="Z578">
        <v>2228</v>
      </c>
      <c r="AA578">
        <v>1420</v>
      </c>
    </row>
    <row r="579" spans="1:27" hidden="1">
      <c r="A579">
        <v>24</v>
      </c>
      <c r="B579">
        <v>0</v>
      </c>
      <c r="C579">
        <v>26.171875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67</v>
      </c>
      <c r="M579">
        <v>454</v>
      </c>
      <c r="N579">
        <v>387</v>
      </c>
      <c r="O579" s="3">
        <v>1.17312661498708</v>
      </c>
      <c r="P579">
        <v>53</v>
      </c>
      <c r="Q579">
        <v>48.660235798499457</v>
      </c>
      <c r="R579">
        <v>0.64222962210350043</v>
      </c>
      <c r="S579">
        <v>31.025345094752581</v>
      </c>
      <c r="T579">
        <v>10.094772159479231</v>
      </c>
      <c r="U579">
        <v>17</v>
      </c>
      <c r="V579">
        <v>21</v>
      </c>
      <c r="W579">
        <v>66</v>
      </c>
      <c r="X579">
        <v>31</v>
      </c>
      <c r="Y579">
        <v>29</v>
      </c>
      <c r="Z579">
        <v>2758</v>
      </c>
      <c r="AA579">
        <v>1825</v>
      </c>
    </row>
    <row r="580" spans="1:27" hidden="1">
      <c r="A580">
        <v>42</v>
      </c>
      <c r="B580">
        <v>0</v>
      </c>
      <c r="C580">
        <v>28.04037814452812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60</v>
      </c>
      <c r="M580">
        <v>174</v>
      </c>
      <c r="N580">
        <v>226</v>
      </c>
      <c r="O580" s="3">
        <v>0.76991150442477874</v>
      </c>
      <c r="P580">
        <v>30</v>
      </c>
      <c r="Q580">
        <v>41.626794258373202</v>
      </c>
      <c r="R580">
        <v>1.113213121576121</v>
      </c>
      <c r="S580">
        <v>30.570854766689301</v>
      </c>
      <c r="T580">
        <v>6.3302726691165541</v>
      </c>
      <c r="U580">
        <v>9</v>
      </c>
      <c r="V580">
        <v>26</v>
      </c>
      <c r="W580">
        <v>68</v>
      </c>
      <c r="X580">
        <v>19</v>
      </c>
      <c r="Y580">
        <v>30</v>
      </c>
      <c r="Z580">
        <v>929</v>
      </c>
      <c r="AA580">
        <v>511</v>
      </c>
    </row>
    <row r="581" spans="1:27" hidden="1">
      <c r="A581">
        <v>40</v>
      </c>
      <c r="B581">
        <v>0</v>
      </c>
      <c r="C581">
        <v>20.28479857195018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93</v>
      </c>
      <c r="M581">
        <v>129</v>
      </c>
      <c r="N581">
        <v>94</v>
      </c>
      <c r="O581" s="3">
        <v>0.68918918918918914</v>
      </c>
      <c r="P581">
        <v>37</v>
      </c>
      <c r="Q581">
        <v>34.795321637426902</v>
      </c>
      <c r="R581">
        <v>0.70696158480501081</v>
      </c>
      <c r="S581">
        <v>29.210688744902772</v>
      </c>
      <c r="T581">
        <v>6.6455348542586492</v>
      </c>
      <c r="U581">
        <v>23</v>
      </c>
      <c r="V581">
        <v>25</v>
      </c>
      <c r="W581">
        <v>52</v>
      </c>
      <c r="X581">
        <v>43</v>
      </c>
      <c r="Y581">
        <v>49</v>
      </c>
      <c r="Z581">
        <v>1477</v>
      </c>
      <c r="AA581">
        <v>1198</v>
      </c>
    </row>
    <row r="582" spans="1:27" hidden="1">
      <c r="A582">
        <v>58</v>
      </c>
      <c r="B582">
        <v>0</v>
      </c>
      <c r="C582">
        <v>21.457268078889701</v>
      </c>
      <c r="D582">
        <v>0</v>
      </c>
      <c r="E582">
        <v>1</v>
      </c>
      <c r="F582">
        <v>0</v>
      </c>
      <c r="G582">
        <v>1</v>
      </c>
      <c r="H582">
        <v>1</v>
      </c>
      <c r="I582">
        <v>0</v>
      </c>
      <c r="J582">
        <v>0</v>
      </c>
      <c r="K582">
        <v>0</v>
      </c>
      <c r="L582">
        <v>93</v>
      </c>
      <c r="M582">
        <v>139</v>
      </c>
      <c r="N582">
        <v>133</v>
      </c>
      <c r="O582" s="3">
        <v>2.8888888888888888</v>
      </c>
      <c r="P582">
        <v>25</v>
      </c>
      <c r="Q582">
        <v>68.421052631578945</v>
      </c>
      <c r="R582">
        <v>1.4497169305638471</v>
      </c>
      <c r="S582">
        <v>32.301965452880452</v>
      </c>
      <c r="T582">
        <v>6.1009648015873026</v>
      </c>
      <c r="U582">
        <v>14</v>
      </c>
      <c r="V582">
        <v>23</v>
      </c>
      <c r="W582">
        <v>85</v>
      </c>
      <c r="X582">
        <v>24</v>
      </c>
      <c r="Y582">
        <v>23</v>
      </c>
      <c r="Z582">
        <v>624</v>
      </c>
      <c r="AA582">
        <v>282</v>
      </c>
    </row>
    <row r="583" spans="1:27">
      <c r="A583">
        <v>45</v>
      </c>
      <c r="B583">
        <v>0</v>
      </c>
      <c r="C583">
        <v>19.948059768903612</v>
      </c>
      <c r="D583">
        <v>0</v>
      </c>
      <c r="E583">
        <v>0</v>
      </c>
      <c r="F583">
        <v>1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65</v>
      </c>
      <c r="M583">
        <v>357</v>
      </c>
      <c r="N583">
        <v>518</v>
      </c>
      <c r="O583" s="3">
        <v>0.40425531914893614</v>
      </c>
      <c r="P583">
        <v>40</v>
      </c>
      <c r="Q583">
        <v>26.027397260273968</v>
      </c>
      <c r="R583">
        <v>0.40535717285422168</v>
      </c>
      <c r="S583">
        <v>28.952994122738591</v>
      </c>
      <c r="T583">
        <v>8.965067207024827</v>
      </c>
      <c r="U583">
        <v>8</v>
      </c>
      <c r="V583">
        <v>7</v>
      </c>
      <c r="W583">
        <v>50</v>
      </c>
      <c r="X583">
        <v>29</v>
      </c>
      <c r="Y583">
        <v>30</v>
      </c>
      <c r="Z583">
        <v>1396</v>
      </c>
      <c r="AA583">
        <v>370</v>
      </c>
    </row>
    <row r="584" spans="1:27" hidden="1">
      <c r="A584">
        <v>20</v>
      </c>
      <c r="B584">
        <v>1</v>
      </c>
      <c r="C584">
        <v>22.09317005428607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106</v>
      </c>
      <c r="M584">
        <v>52</v>
      </c>
      <c r="N584">
        <v>18</v>
      </c>
      <c r="O584" s="3">
        <v>2.302197802197802</v>
      </c>
      <c r="P584">
        <v>18</v>
      </c>
      <c r="Q584">
        <v>65.673981191222566</v>
      </c>
      <c r="R584">
        <v>1.4066709398356529</v>
      </c>
      <c r="S584">
        <v>31.142351842107669</v>
      </c>
      <c r="T584">
        <v>5.1046074640493622</v>
      </c>
      <c r="U584">
        <v>7</v>
      </c>
      <c r="V584">
        <v>13</v>
      </c>
      <c r="W584">
        <v>45</v>
      </c>
      <c r="X584">
        <v>8</v>
      </c>
      <c r="Y584">
        <v>8</v>
      </c>
      <c r="Z584">
        <v>410</v>
      </c>
      <c r="AA584">
        <v>334</v>
      </c>
    </row>
    <row r="585" spans="1:27">
      <c r="A585">
        <v>65</v>
      </c>
      <c r="B585">
        <v>1</v>
      </c>
      <c r="C585">
        <v>0</v>
      </c>
      <c r="D585">
        <v>0</v>
      </c>
      <c r="E585">
        <v>1</v>
      </c>
      <c r="F585">
        <v>1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82</v>
      </c>
      <c r="M585">
        <v>19</v>
      </c>
      <c r="N585">
        <v>47</v>
      </c>
      <c r="O585" s="3">
        <v>0.40425531914893614</v>
      </c>
      <c r="P585">
        <v>11</v>
      </c>
      <c r="Q585">
        <v>26.027397260273968</v>
      </c>
      <c r="R585">
        <v>0.566795076449089</v>
      </c>
      <c r="S585">
        <v>30.358973887507279</v>
      </c>
      <c r="T585">
        <v>4.8032119017504238</v>
      </c>
      <c r="U585">
        <v>10</v>
      </c>
      <c r="V585">
        <v>39</v>
      </c>
      <c r="W585">
        <v>72</v>
      </c>
      <c r="X585">
        <v>27</v>
      </c>
      <c r="Y585">
        <v>34</v>
      </c>
      <c r="Z585">
        <v>147</v>
      </c>
      <c r="AA585">
        <v>74</v>
      </c>
    </row>
    <row r="586" spans="1:27" hidden="1">
      <c r="A586">
        <v>48</v>
      </c>
      <c r="B586">
        <v>0</v>
      </c>
      <c r="C586">
        <v>25.31545429373838</v>
      </c>
      <c r="D586">
        <v>0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63</v>
      </c>
      <c r="M586">
        <v>419</v>
      </c>
      <c r="N586">
        <v>182</v>
      </c>
      <c r="O586" s="3">
        <v>2.302197802197802</v>
      </c>
      <c r="P586">
        <v>44</v>
      </c>
      <c r="Q586">
        <v>65.673981191222566</v>
      </c>
      <c r="R586">
        <v>0.55815138872016445</v>
      </c>
      <c r="S586">
        <v>30.538003338903771</v>
      </c>
      <c r="T586">
        <v>7.2754001410387819</v>
      </c>
      <c r="U586">
        <v>10</v>
      </c>
      <c r="V586">
        <v>22</v>
      </c>
      <c r="W586">
        <v>61</v>
      </c>
      <c r="X586">
        <v>8</v>
      </c>
      <c r="Y586">
        <v>8</v>
      </c>
      <c r="Z586">
        <v>1993</v>
      </c>
      <c r="AA586">
        <v>1355</v>
      </c>
    </row>
    <row r="587" spans="1:27">
      <c r="A587">
        <v>54</v>
      </c>
      <c r="B587">
        <v>0</v>
      </c>
      <c r="C587">
        <v>24.005486968449929</v>
      </c>
      <c r="D587">
        <v>0</v>
      </c>
      <c r="E587">
        <v>1</v>
      </c>
      <c r="F587">
        <v>1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84</v>
      </c>
      <c r="M587">
        <v>39</v>
      </c>
      <c r="N587">
        <v>18</v>
      </c>
      <c r="O587" s="3">
        <v>2.1666666666666665</v>
      </c>
      <c r="P587">
        <v>18</v>
      </c>
      <c r="Q587">
        <v>45.882352941176471</v>
      </c>
      <c r="R587">
        <v>0.58161050301699901</v>
      </c>
      <c r="S587">
        <v>32.207010034903092</v>
      </c>
      <c r="T587">
        <v>3.906780593679986</v>
      </c>
      <c r="U587">
        <v>17</v>
      </c>
      <c r="V587">
        <v>30</v>
      </c>
      <c r="W587">
        <v>87</v>
      </c>
      <c r="X587">
        <v>39</v>
      </c>
      <c r="Y587">
        <v>44</v>
      </c>
      <c r="Z587">
        <v>351</v>
      </c>
      <c r="AA587">
        <v>266</v>
      </c>
    </row>
    <row r="588" spans="1:27" hidden="1">
      <c r="A588">
        <v>24</v>
      </c>
      <c r="B588">
        <v>1</v>
      </c>
      <c r="C588">
        <v>27.776929886145108</v>
      </c>
      <c r="D588">
        <v>0</v>
      </c>
      <c r="E588">
        <v>1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72</v>
      </c>
      <c r="M588">
        <v>1022</v>
      </c>
      <c r="N588">
        <v>758</v>
      </c>
      <c r="O588" s="3">
        <v>1.3482849604221636</v>
      </c>
      <c r="P588">
        <v>58</v>
      </c>
      <c r="Q588">
        <v>48.551068883610448</v>
      </c>
      <c r="R588">
        <v>0.58178724289777517</v>
      </c>
      <c r="S588">
        <v>29.332676779036301</v>
      </c>
      <c r="T588">
        <v>12.32339765027781</v>
      </c>
      <c r="U588">
        <v>12</v>
      </c>
      <c r="V588">
        <v>48</v>
      </c>
      <c r="W588">
        <v>61</v>
      </c>
      <c r="X588">
        <v>10</v>
      </c>
      <c r="Y588">
        <v>44</v>
      </c>
      <c r="Z588">
        <v>3059</v>
      </c>
      <c r="AA588">
        <v>954</v>
      </c>
    </row>
    <row r="589" spans="1:27">
      <c r="A589">
        <v>35</v>
      </c>
      <c r="B589">
        <v>1</v>
      </c>
      <c r="C589">
        <v>24.83564645726808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88</v>
      </c>
      <c r="M589">
        <v>720</v>
      </c>
      <c r="N589">
        <v>505</v>
      </c>
      <c r="O589" s="3">
        <v>1.4257425742574257</v>
      </c>
      <c r="P589">
        <v>46</v>
      </c>
      <c r="Q589">
        <v>42.203985932004692</v>
      </c>
      <c r="R589">
        <v>0.54332810298312761</v>
      </c>
      <c r="S589">
        <v>28.265067120711901</v>
      </c>
      <c r="T589">
        <v>13.06034714593466</v>
      </c>
      <c r="U589">
        <v>8</v>
      </c>
      <c r="V589">
        <v>14</v>
      </c>
      <c r="W589">
        <v>41</v>
      </c>
      <c r="X589">
        <v>10</v>
      </c>
      <c r="Y589">
        <v>15</v>
      </c>
      <c r="Z589">
        <v>2040</v>
      </c>
      <c r="AA589">
        <v>334</v>
      </c>
    </row>
    <row r="590" spans="1:27" hidden="1">
      <c r="A590">
        <v>20</v>
      </c>
      <c r="B590">
        <v>0</v>
      </c>
      <c r="C590">
        <v>23.046875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81</v>
      </c>
      <c r="M590">
        <v>559</v>
      </c>
      <c r="N590">
        <v>117</v>
      </c>
      <c r="O590" s="3">
        <v>4.7777777777777777</v>
      </c>
      <c r="P590">
        <v>37</v>
      </c>
      <c r="Q590">
        <v>80.547550432276651</v>
      </c>
      <c r="R590">
        <v>1.596515436507935</v>
      </c>
      <c r="S590">
        <v>29.161779682067941</v>
      </c>
      <c r="T590">
        <v>8.0749206168831158</v>
      </c>
      <c r="U590">
        <v>5</v>
      </c>
      <c r="V590">
        <v>27</v>
      </c>
      <c r="W590">
        <v>70</v>
      </c>
      <c r="X590">
        <v>46</v>
      </c>
      <c r="Y590">
        <v>22</v>
      </c>
      <c r="Z590">
        <v>1333</v>
      </c>
      <c r="AA590">
        <v>639</v>
      </c>
    </row>
    <row r="591" spans="1:27" hidden="1">
      <c r="A591">
        <v>31</v>
      </c>
      <c r="B591">
        <v>1</v>
      </c>
      <c r="C591">
        <v>25.96304794106992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63</v>
      </c>
      <c r="M591">
        <v>392</v>
      </c>
      <c r="N591">
        <v>216</v>
      </c>
      <c r="O591" s="4">
        <v>1.8148148148148149</v>
      </c>
      <c r="P591">
        <v>42</v>
      </c>
      <c r="Q591">
        <v>58.420268256333827</v>
      </c>
      <c r="R591">
        <v>1.2786571890723799</v>
      </c>
      <c r="S591">
        <v>29.708576024823529</v>
      </c>
      <c r="T591">
        <v>9.4669774183656372</v>
      </c>
      <c r="U591">
        <v>0</v>
      </c>
      <c r="V591">
        <v>13</v>
      </c>
      <c r="W591">
        <v>35</v>
      </c>
      <c r="X591">
        <v>3</v>
      </c>
      <c r="Y591">
        <v>0</v>
      </c>
      <c r="Z591">
        <v>1892</v>
      </c>
      <c r="AA591">
        <v>1221</v>
      </c>
    </row>
    <row r="592" spans="1:27" hidden="1">
      <c r="A592">
        <v>67</v>
      </c>
      <c r="B592">
        <v>0</v>
      </c>
      <c r="C592">
        <v>26.91272587466359</v>
      </c>
      <c r="D592">
        <v>0</v>
      </c>
      <c r="E592">
        <v>1</v>
      </c>
      <c r="F592">
        <v>0</v>
      </c>
      <c r="G592">
        <v>1</v>
      </c>
      <c r="H592">
        <v>1</v>
      </c>
      <c r="I592">
        <v>0</v>
      </c>
      <c r="J592">
        <v>0</v>
      </c>
      <c r="K592">
        <v>0</v>
      </c>
      <c r="L592">
        <v>56</v>
      </c>
      <c r="M592">
        <v>121</v>
      </c>
      <c r="N592">
        <v>303</v>
      </c>
      <c r="O592" s="3">
        <v>0.39933993399339934</v>
      </c>
      <c r="P592">
        <v>34</v>
      </c>
      <c r="Q592">
        <v>25.799573560767591</v>
      </c>
      <c r="R592">
        <v>1.9557921723723379</v>
      </c>
      <c r="S592">
        <v>30.287170030791589</v>
      </c>
      <c r="T592">
        <v>6.2660846422119008</v>
      </c>
      <c r="U592">
        <v>19</v>
      </c>
      <c r="V592">
        <v>34</v>
      </c>
      <c r="W592">
        <v>66</v>
      </c>
      <c r="X592">
        <v>7</v>
      </c>
      <c r="Y592">
        <v>34</v>
      </c>
      <c r="Z592">
        <v>1073</v>
      </c>
      <c r="AA592">
        <v>604</v>
      </c>
    </row>
    <row r="593" spans="1:27" hidden="1">
      <c r="A593">
        <v>52</v>
      </c>
      <c r="B593">
        <v>0</v>
      </c>
      <c r="C593">
        <v>31.221303948576679</v>
      </c>
      <c r="D593">
        <v>0</v>
      </c>
      <c r="E593">
        <v>1</v>
      </c>
      <c r="F593">
        <v>0</v>
      </c>
      <c r="G593">
        <v>1</v>
      </c>
      <c r="H593">
        <v>1</v>
      </c>
      <c r="I593">
        <v>0</v>
      </c>
      <c r="J593">
        <v>0</v>
      </c>
      <c r="K593">
        <v>0</v>
      </c>
      <c r="L593">
        <v>78</v>
      </c>
      <c r="M593">
        <v>132</v>
      </c>
      <c r="N593">
        <v>115</v>
      </c>
      <c r="O593" s="3">
        <v>1.1478260869565218</v>
      </c>
      <c r="P593">
        <v>25</v>
      </c>
      <c r="Q593">
        <v>46.97508896797153</v>
      </c>
      <c r="R593">
        <v>0.6086691963885853</v>
      </c>
      <c r="S593">
        <v>31.87530031013015</v>
      </c>
      <c r="T593">
        <v>5.7960498538521108</v>
      </c>
      <c r="U593">
        <v>22</v>
      </c>
      <c r="V593">
        <v>31</v>
      </c>
      <c r="W593">
        <v>77</v>
      </c>
      <c r="X593">
        <v>21</v>
      </c>
      <c r="Y593">
        <v>27</v>
      </c>
      <c r="Z593">
        <v>726</v>
      </c>
      <c r="AA593">
        <v>445</v>
      </c>
    </row>
    <row r="594" spans="1:27" hidden="1">
      <c r="A594">
        <v>58</v>
      </c>
      <c r="B594">
        <v>1</v>
      </c>
      <c r="C594">
        <v>25.816630212628631</v>
      </c>
      <c r="D594">
        <v>0</v>
      </c>
      <c r="E594">
        <v>0</v>
      </c>
      <c r="F594">
        <v>0</v>
      </c>
      <c r="G594">
        <v>1</v>
      </c>
      <c r="H594">
        <v>1</v>
      </c>
      <c r="I594">
        <v>0</v>
      </c>
      <c r="J594">
        <v>0</v>
      </c>
      <c r="K594">
        <v>0</v>
      </c>
      <c r="L594">
        <v>74</v>
      </c>
      <c r="M594">
        <v>708</v>
      </c>
      <c r="N594">
        <v>125</v>
      </c>
      <c r="O594" s="4">
        <v>5.6639999999999997</v>
      </c>
      <c r="P594">
        <v>42</v>
      </c>
      <c r="Q594">
        <v>83.098591549295776</v>
      </c>
      <c r="R594">
        <v>0.65388982557284081</v>
      </c>
      <c r="S594">
        <v>30.347451603149992</v>
      </c>
      <c r="T594">
        <v>9.449975972774725</v>
      </c>
      <c r="U594">
        <v>7</v>
      </c>
      <c r="V594">
        <v>22</v>
      </c>
      <c r="W594">
        <v>52</v>
      </c>
      <c r="X594">
        <v>7</v>
      </c>
      <c r="Y594">
        <v>5</v>
      </c>
      <c r="Z594">
        <v>1907</v>
      </c>
      <c r="AA594">
        <v>1055</v>
      </c>
    </row>
    <row r="595" spans="1:27" hidden="1">
      <c r="A595">
        <v>40</v>
      </c>
      <c r="B595">
        <v>1</v>
      </c>
      <c r="C595">
        <v>31.773931855056791</v>
      </c>
      <c r="D595">
        <v>0</v>
      </c>
      <c r="E595">
        <v>1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61</v>
      </c>
      <c r="M595">
        <v>368</v>
      </c>
      <c r="N595">
        <v>319</v>
      </c>
      <c r="O595" s="3">
        <v>1.1536050156739812</v>
      </c>
      <c r="P595">
        <v>35</v>
      </c>
      <c r="Q595">
        <v>49.52893674293405</v>
      </c>
      <c r="R595">
        <v>0.74230605471087729</v>
      </c>
      <c r="S595">
        <v>30.40884288076386</v>
      </c>
      <c r="T595">
        <v>7.6225932936507954</v>
      </c>
      <c r="U595">
        <v>10</v>
      </c>
      <c r="V595">
        <v>27</v>
      </c>
      <c r="W595">
        <v>50</v>
      </c>
      <c r="X595">
        <v>13</v>
      </c>
      <c r="Y595">
        <v>24</v>
      </c>
      <c r="Z595">
        <v>1207</v>
      </c>
      <c r="AA595">
        <v>464</v>
      </c>
    </row>
    <row r="596" spans="1:27" hidden="1">
      <c r="A596">
        <v>32</v>
      </c>
      <c r="B596">
        <v>1</v>
      </c>
      <c r="C596">
        <v>27.450604870886401</v>
      </c>
      <c r="D596">
        <v>0</v>
      </c>
      <c r="E596">
        <v>1</v>
      </c>
      <c r="F596">
        <v>0</v>
      </c>
      <c r="G596">
        <v>1</v>
      </c>
      <c r="H596">
        <v>1</v>
      </c>
      <c r="I596">
        <v>0</v>
      </c>
      <c r="J596">
        <v>0</v>
      </c>
      <c r="K596">
        <v>0</v>
      </c>
      <c r="L596">
        <v>79</v>
      </c>
      <c r="M596">
        <v>344</v>
      </c>
      <c r="N596">
        <v>165</v>
      </c>
      <c r="O596" s="3">
        <v>2.084848484848485</v>
      </c>
      <c r="P596">
        <v>31</v>
      </c>
      <c r="Q596">
        <v>63.821892393320972</v>
      </c>
      <c r="R596">
        <v>0.49047813493953463</v>
      </c>
      <c r="S596">
        <v>31.503896241216271</v>
      </c>
      <c r="T596">
        <v>7.0766140336134464</v>
      </c>
      <c r="U596">
        <v>10</v>
      </c>
      <c r="V596">
        <v>33</v>
      </c>
      <c r="W596">
        <v>64</v>
      </c>
      <c r="X596">
        <v>12</v>
      </c>
      <c r="Y596">
        <v>32</v>
      </c>
      <c r="Z596">
        <v>1014</v>
      </c>
      <c r="AA596">
        <v>475</v>
      </c>
    </row>
    <row r="597" spans="1:27">
      <c r="A597">
        <v>37</v>
      </c>
      <c r="B597">
        <v>0</v>
      </c>
      <c r="C597">
        <v>17.039230800438151</v>
      </c>
      <c r="D597">
        <v>0</v>
      </c>
      <c r="E597">
        <v>1</v>
      </c>
      <c r="F597">
        <v>1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86</v>
      </c>
      <c r="M597">
        <v>584</v>
      </c>
      <c r="N597">
        <v>247</v>
      </c>
      <c r="O597" s="3">
        <v>2.3643724696356276</v>
      </c>
      <c r="P597">
        <v>39</v>
      </c>
      <c r="Q597">
        <v>57.254901960784323</v>
      </c>
      <c r="R597">
        <v>0.48661950366421097</v>
      </c>
      <c r="S597">
        <v>30.208372847241058</v>
      </c>
      <c r="T597">
        <v>8.9995080855913994</v>
      </c>
      <c r="U597">
        <v>10</v>
      </c>
      <c r="V597">
        <v>20</v>
      </c>
      <c r="W597">
        <v>72</v>
      </c>
      <c r="X597">
        <v>12</v>
      </c>
      <c r="Y597">
        <v>9</v>
      </c>
      <c r="Z597">
        <v>1559</v>
      </c>
      <c r="AA597">
        <v>539</v>
      </c>
    </row>
    <row r="598" spans="1:27" hidden="1">
      <c r="A598">
        <v>44</v>
      </c>
      <c r="B598">
        <v>1</v>
      </c>
      <c r="C598">
        <v>21.434609346697261</v>
      </c>
      <c r="D598">
        <v>0</v>
      </c>
      <c r="E598">
        <v>1</v>
      </c>
      <c r="F598">
        <v>0</v>
      </c>
      <c r="G598">
        <v>1</v>
      </c>
      <c r="H598">
        <v>1</v>
      </c>
      <c r="I598">
        <v>0</v>
      </c>
      <c r="J598">
        <v>0</v>
      </c>
      <c r="K598">
        <v>0</v>
      </c>
      <c r="L598">
        <v>78</v>
      </c>
      <c r="M598">
        <v>217</v>
      </c>
      <c r="N598">
        <v>44</v>
      </c>
      <c r="O598" s="3">
        <v>4.9318181818181817</v>
      </c>
      <c r="P598">
        <v>26</v>
      </c>
      <c r="Q598">
        <v>76.140350877192986</v>
      </c>
      <c r="R598">
        <v>0.67070017610218402</v>
      </c>
      <c r="S598">
        <v>30.373601527556989</v>
      </c>
      <c r="T598">
        <v>6.1653084062511336</v>
      </c>
      <c r="U598">
        <v>11</v>
      </c>
      <c r="V598">
        <v>29</v>
      </c>
      <c r="W598">
        <v>67</v>
      </c>
      <c r="X598">
        <v>16</v>
      </c>
      <c r="Y598">
        <v>10</v>
      </c>
      <c r="Z598">
        <v>754</v>
      </c>
      <c r="AA598">
        <v>469</v>
      </c>
    </row>
    <row r="599" spans="1:27">
      <c r="A599">
        <v>36</v>
      </c>
      <c r="B599">
        <v>1</v>
      </c>
      <c r="C599">
        <v>21.385936352899868</v>
      </c>
      <c r="D599">
        <v>0</v>
      </c>
      <c r="E599">
        <v>1</v>
      </c>
      <c r="F599">
        <v>1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70</v>
      </c>
      <c r="M599">
        <v>639</v>
      </c>
      <c r="N599">
        <v>278</v>
      </c>
      <c r="O599" s="3">
        <v>2.2985611510791366</v>
      </c>
      <c r="P599">
        <v>43</v>
      </c>
      <c r="Q599">
        <v>64.873096446700501</v>
      </c>
      <c r="R599">
        <v>0.52641748367143204</v>
      </c>
      <c r="S599">
        <v>29.94482661926801</v>
      </c>
      <c r="T599">
        <v>9.7409722806264956</v>
      </c>
      <c r="U599">
        <v>14</v>
      </c>
      <c r="V599">
        <v>35</v>
      </c>
      <c r="W599">
        <v>67</v>
      </c>
      <c r="X599">
        <v>25</v>
      </c>
      <c r="Y599">
        <v>37</v>
      </c>
      <c r="Z599">
        <v>2128</v>
      </c>
      <c r="AA599">
        <v>1143</v>
      </c>
    </row>
    <row r="600" spans="1:27">
      <c r="A600">
        <v>50</v>
      </c>
      <c r="B600">
        <v>1</v>
      </c>
      <c r="C600">
        <v>21.907582457706191</v>
      </c>
      <c r="D600">
        <v>0</v>
      </c>
      <c r="E600">
        <v>1</v>
      </c>
      <c r="F600">
        <v>1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61</v>
      </c>
      <c r="M600">
        <v>189</v>
      </c>
      <c r="N600">
        <v>387</v>
      </c>
      <c r="O600" s="3">
        <f>L600/M600</f>
        <v>0.32275132275132273</v>
      </c>
      <c r="P600">
        <v>39</v>
      </c>
      <c r="Q600">
        <v>28.463855421686748</v>
      </c>
      <c r="R600">
        <v>0.56202053976143973</v>
      </c>
      <c r="S600">
        <v>27.85542990020285</v>
      </c>
      <c r="T600">
        <v>7.5259521911577281</v>
      </c>
      <c r="U600">
        <v>4</v>
      </c>
      <c r="V600">
        <v>14</v>
      </c>
      <c r="W600">
        <v>56</v>
      </c>
      <c r="X600">
        <v>12</v>
      </c>
      <c r="Y600">
        <v>16</v>
      </c>
      <c r="Z600">
        <v>1534</v>
      </c>
      <c r="AA600">
        <v>870</v>
      </c>
    </row>
    <row r="601" spans="1:27" hidden="1">
      <c r="A601">
        <v>53</v>
      </c>
      <c r="B601">
        <v>0</v>
      </c>
      <c r="C601">
        <v>24.65483234714004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69</v>
      </c>
      <c r="M601">
        <v>423</v>
      </c>
      <c r="N601">
        <v>120</v>
      </c>
      <c r="O601" s="3">
        <v>3.5249999999999999</v>
      </c>
      <c r="P601">
        <v>40</v>
      </c>
      <c r="Q601">
        <v>72.931034482758619</v>
      </c>
      <c r="R601">
        <v>1.112486437949691</v>
      </c>
      <c r="S601">
        <v>30.304016453605641</v>
      </c>
      <c r="T601">
        <v>7.5519624280106372</v>
      </c>
      <c r="U601">
        <v>2</v>
      </c>
      <c r="V601">
        <v>28</v>
      </c>
      <c r="W601">
        <v>59</v>
      </c>
      <c r="X601">
        <v>9</v>
      </c>
      <c r="Y601">
        <v>2</v>
      </c>
      <c r="Z601">
        <v>1670</v>
      </c>
      <c r="AA601">
        <v>1090</v>
      </c>
    </row>
    <row r="602" spans="1:27" hidden="1">
      <c r="A602">
        <v>52</v>
      </c>
      <c r="B602">
        <v>1</v>
      </c>
      <c r="C602">
        <v>27.335640138408309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72</v>
      </c>
      <c r="M602">
        <v>184</v>
      </c>
      <c r="N602">
        <v>41</v>
      </c>
      <c r="O602" s="3">
        <v>4.4878048780487809</v>
      </c>
      <c r="P602">
        <v>21</v>
      </c>
      <c r="Q602">
        <v>76.987447698744774</v>
      </c>
      <c r="R602">
        <v>0.58567466615633945</v>
      </c>
      <c r="S602">
        <v>31.613821100923239</v>
      </c>
      <c r="T602">
        <v>5.8627715165390164</v>
      </c>
      <c r="U602">
        <v>4</v>
      </c>
      <c r="V602">
        <v>18</v>
      </c>
      <c r="W602">
        <v>67</v>
      </c>
      <c r="X602">
        <v>9</v>
      </c>
      <c r="Y602">
        <v>4</v>
      </c>
      <c r="Z602">
        <v>601</v>
      </c>
      <c r="AA602">
        <v>362</v>
      </c>
    </row>
    <row r="603" spans="1:27" hidden="1">
      <c r="A603">
        <v>59</v>
      </c>
      <c r="B603">
        <v>1</v>
      </c>
      <c r="C603">
        <v>20.574399835404801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84</v>
      </c>
      <c r="M603">
        <v>21</v>
      </c>
      <c r="N603">
        <v>8</v>
      </c>
      <c r="O603" s="3">
        <v>2.625</v>
      </c>
      <c r="P603">
        <v>14</v>
      </c>
      <c r="Q603">
        <v>63.636363636363633</v>
      </c>
      <c r="R603">
        <v>0.48576811495815619</v>
      </c>
      <c r="S603">
        <v>31.311339769438419</v>
      </c>
      <c r="T603">
        <v>3.1670077423565499</v>
      </c>
      <c r="U603">
        <v>9</v>
      </c>
      <c r="V603">
        <v>29</v>
      </c>
      <c r="W603">
        <v>91</v>
      </c>
      <c r="X603">
        <v>11</v>
      </c>
      <c r="Y603">
        <v>16</v>
      </c>
      <c r="Z603">
        <v>215</v>
      </c>
      <c r="AA603">
        <v>182</v>
      </c>
    </row>
    <row r="604" spans="1:27" hidden="1">
      <c r="A604">
        <v>52</v>
      </c>
      <c r="B604">
        <v>0</v>
      </c>
      <c r="C604">
        <v>28.515624999999989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75</v>
      </c>
      <c r="M604">
        <v>672</v>
      </c>
      <c r="N604">
        <v>113</v>
      </c>
      <c r="O604" s="3">
        <v>5.946902654867257</v>
      </c>
      <c r="P604">
        <v>48</v>
      </c>
      <c r="Q604">
        <v>82.051282051282058</v>
      </c>
      <c r="R604">
        <v>0.44929913527970089</v>
      </c>
      <c r="S604">
        <v>31.375783805866771</v>
      </c>
      <c r="T604">
        <v>9.4060293549861065</v>
      </c>
      <c r="U604">
        <v>14</v>
      </c>
      <c r="V604">
        <v>14</v>
      </c>
      <c r="W604">
        <v>69</v>
      </c>
      <c r="X604">
        <v>9</v>
      </c>
      <c r="Y604">
        <v>14</v>
      </c>
      <c r="Z604">
        <v>2567</v>
      </c>
      <c r="AA604">
        <v>1748</v>
      </c>
    </row>
    <row r="605" spans="1:27" hidden="1">
      <c r="A605">
        <v>56</v>
      </c>
      <c r="B605">
        <v>0</v>
      </c>
      <c r="C605">
        <v>22.213678499722331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55</v>
      </c>
      <c r="M605">
        <v>697</v>
      </c>
      <c r="N605">
        <v>796</v>
      </c>
      <c r="O605" s="3">
        <v>0.87562814070351758</v>
      </c>
      <c r="P605">
        <v>59</v>
      </c>
      <c r="Q605">
        <v>43.02469135802469</v>
      </c>
      <c r="R605">
        <v>1.9426374635587831</v>
      </c>
      <c r="S605">
        <v>29.195540139843551</v>
      </c>
      <c r="T605">
        <v>11.407380456108219</v>
      </c>
      <c r="U605">
        <v>5</v>
      </c>
      <c r="V605">
        <v>7</v>
      </c>
      <c r="W605">
        <v>57</v>
      </c>
      <c r="X605">
        <v>4</v>
      </c>
      <c r="Y605">
        <v>3</v>
      </c>
      <c r="Z605">
        <v>3228</v>
      </c>
      <c r="AA605">
        <v>1608</v>
      </c>
    </row>
    <row r="606" spans="1:27" hidden="1">
      <c r="A606">
        <v>48</v>
      </c>
      <c r="B606">
        <v>0</v>
      </c>
      <c r="C606">
        <v>29.384676110696901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73</v>
      </c>
      <c r="M606">
        <v>302</v>
      </c>
      <c r="N606">
        <v>312</v>
      </c>
      <c r="O606" s="3">
        <v>0.96794871794871795</v>
      </c>
      <c r="P606">
        <v>36</v>
      </c>
      <c r="Q606">
        <v>40.213049267643143</v>
      </c>
      <c r="R606">
        <v>0.38525869928469031</v>
      </c>
      <c r="S606">
        <v>31.116758474962651</v>
      </c>
      <c r="T606">
        <v>7.3976125288483274</v>
      </c>
      <c r="U606">
        <v>8</v>
      </c>
      <c r="V606">
        <v>27</v>
      </c>
      <c r="W606">
        <v>66</v>
      </c>
      <c r="X606">
        <v>8</v>
      </c>
      <c r="Y606">
        <v>11</v>
      </c>
      <c r="Z606">
        <v>1298</v>
      </c>
      <c r="AA606">
        <v>547</v>
      </c>
    </row>
    <row r="607" spans="1:27" hidden="1">
      <c r="A607">
        <v>58</v>
      </c>
      <c r="B607">
        <v>0</v>
      </c>
      <c r="C607">
        <v>19.111111111111111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74</v>
      </c>
      <c r="M607">
        <v>347</v>
      </c>
      <c r="N607">
        <v>365</v>
      </c>
      <c r="O607" s="3">
        <v>0.9506849315068493</v>
      </c>
      <c r="P607">
        <v>33</v>
      </c>
      <c r="Q607">
        <v>43.702770780856433</v>
      </c>
      <c r="R607">
        <v>0.92121843373882584</v>
      </c>
      <c r="S607">
        <v>30.258323641290211</v>
      </c>
      <c r="T607">
        <v>8.0547690370794793</v>
      </c>
      <c r="U607">
        <v>7</v>
      </c>
      <c r="V607">
        <v>4</v>
      </c>
      <c r="W607">
        <v>46</v>
      </c>
      <c r="X607">
        <v>3</v>
      </c>
      <c r="Y607">
        <v>1</v>
      </c>
      <c r="Z607">
        <v>1030</v>
      </c>
      <c r="AA607">
        <v>236</v>
      </c>
    </row>
    <row r="608" spans="1:27" hidden="1">
      <c r="A608">
        <v>47</v>
      </c>
      <c r="B608">
        <v>0</v>
      </c>
      <c r="C608">
        <v>19.031141868512108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75</v>
      </c>
      <c r="M608">
        <v>146</v>
      </c>
      <c r="N608">
        <v>102</v>
      </c>
      <c r="O608" s="3">
        <v>1.4313725490196079</v>
      </c>
      <c r="P608">
        <v>32</v>
      </c>
      <c r="Q608">
        <v>34.032634032634043</v>
      </c>
      <c r="R608">
        <v>0.98448961515788969</v>
      </c>
      <c r="S608">
        <v>29.829005803917301</v>
      </c>
      <c r="T608">
        <v>6.4533381365304736</v>
      </c>
      <c r="U608">
        <v>1</v>
      </c>
      <c r="V608">
        <v>10</v>
      </c>
      <c r="W608">
        <v>49</v>
      </c>
      <c r="X608">
        <v>2</v>
      </c>
      <c r="Y608">
        <v>0</v>
      </c>
      <c r="Z608">
        <v>983</v>
      </c>
      <c r="AA608">
        <v>554</v>
      </c>
    </row>
    <row r="609" spans="1:27" hidden="1">
      <c r="A609">
        <v>46</v>
      </c>
      <c r="B609">
        <v>0</v>
      </c>
      <c r="C609">
        <v>27.885187388459251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59</v>
      </c>
      <c r="M609">
        <v>117</v>
      </c>
      <c r="N609">
        <v>115</v>
      </c>
      <c r="O609" s="3">
        <v>1.017391304347826</v>
      </c>
      <c r="P609">
        <v>25</v>
      </c>
      <c r="Q609">
        <v>45.882352941176471</v>
      </c>
      <c r="R609">
        <v>1.9813163160982761</v>
      </c>
      <c r="S609">
        <v>30.96137942520922</v>
      </c>
      <c r="T609">
        <v>5.4829713412699199</v>
      </c>
      <c r="U609">
        <v>7</v>
      </c>
      <c r="V609">
        <v>24</v>
      </c>
      <c r="W609">
        <v>59</v>
      </c>
      <c r="X609">
        <v>12</v>
      </c>
      <c r="Y609">
        <v>13</v>
      </c>
      <c r="Z609">
        <v>584</v>
      </c>
      <c r="AA609">
        <v>329</v>
      </c>
    </row>
    <row r="610" spans="1:27" hidden="1">
      <c r="A610">
        <v>37</v>
      </c>
      <c r="B610">
        <v>1</v>
      </c>
      <c r="C610">
        <v>34.293552812071333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63</v>
      </c>
      <c r="M610">
        <v>605</v>
      </c>
      <c r="N610">
        <v>766</v>
      </c>
      <c r="O610" s="3">
        <v>0.78981723237597912</v>
      </c>
      <c r="P610">
        <v>52</v>
      </c>
      <c r="Q610">
        <v>41.637990364762558</v>
      </c>
      <c r="R610">
        <v>1.283259533628232</v>
      </c>
      <c r="S610">
        <v>30.437896236632071</v>
      </c>
      <c r="T610">
        <v>9.767564947094602</v>
      </c>
      <c r="U610">
        <v>2</v>
      </c>
      <c r="V610">
        <v>13</v>
      </c>
      <c r="W610">
        <v>68</v>
      </c>
      <c r="X610">
        <v>3</v>
      </c>
      <c r="Y610">
        <v>1</v>
      </c>
      <c r="Z610">
        <v>2646</v>
      </c>
      <c r="AA610">
        <v>1193</v>
      </c>
    </row>
    <row r="611" spans="1:27" hidden="1">
      <c r="A611">
        <v>23</v>
      </c>
      <c r="B611">
        <v>0</v>
      </c>
      <c r="C611">
        <v>25.95155709342561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88</v>
      </c>
      <c r="M611">
        <v>523</v>
      </c>
      <c r="N611">
        <v>241</v>
      </c>
      <c r="O611" s="3">
        <v>2.1701244813278007</v>
      </c>
      <c r="P611">
        <v>38</v>
      </c>
      <c r="Q611">
        <v>65.621079046424086</v>
      </c>
      <c r="R611">
        <v>1.160006233656508</v>
      </c>
      <c r="S611">
        <v>29.903104548203331</v>
      </c>
      <c r="T611">
        <v>9.3677179189189612</v>
      </c>
      <c r="U611">
        <v>0</v>
      </c>
      <c r="V611">
        <v>0</v>
      </c>
      <c r="W611">
        <v>16</v>
      </c>
      <c r="X611">
        <v>0</v>
      </c>
      <c r="Y611">
        <v>0</v>
      </c>
      <c r="Z611">
        <v>1507</v>
      </c>
      <c r="AA611">
        <v>710</v>
      </c>
    </row>
    <row r="612" spans="1:27" hidden="1">
      <c r="A612">
        <v>36</v>
      </c>
      <c r="B612">
        <v>1</v>
      </c>
      <c r="C612">
        <v>35.185185185185183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74</v>
      </c>
      <c r="M612">
        <v>140</v>
      </c>
      <c r="N612">
        <v>13</v>
      </c>
      <c r="O612" s="3">
        <v>10.76923076923077</v>
      </c>
      <c r="P612">
        <v>19</v>
      </c>
      <c r="Q612">
        <v>85.889570552147234</v>
      </c>
      <c r="R612">
        <v>1.818257629870131</v>
      </c>
      <c r="S612">
        <v>31.409843347291389</v>
      </c>
      <c r="T612">
        <v>6.362018806471303</v>
      </c>
      <c r="U612">
        <v>1</v>
      </c>
      <c r="V612">
        <v>11</v>
      </c>
      <c r="W612">
        <v>70</v>
      </c>
      <c r="X612">
        <v>0</v>
      </c>
      <c r="Y612">
        <v>0</v>
      </c>
      <c r="Z612">
        <v>430</v>
      </c>
      <c r="AA612">
        <v>267</v>
      </c>
    </row>
    <row r="613" spans="1:27" hidden="1">
      <c r="A613">
        <v>60</v>
      </c>
      <c r="B613">
        <v>0</v>
      </c>
      <c r="C613">
        <v>19.140625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71</v>
      </c>
      <c r="M613">
        <v>448</v>
      </c>
      <c r="N613">
        <v>195</v>
      </c>
      <c r="O613" s="3">
        <v>2.2974358974358973</v>
      </c>
      <c r="P613">
        <v>46</v>
      </c>
      <c r="Q613">
        <v>66.174298375184634</v>
      </c>
      <c r="R613">
        <v>0.55936916571449291</v>
      </c>
      <c r="S613">
        <v>30.374343026059801</v>
      </c>
      <c r="T613">
        <v>8.6443843143052046</v>
      </c>
      <c r="U613">
        <v>2</v>
      </c>
      <c r="V613">
        <v>1</v>
      </c>
      <c r="W613">
        <v>56</v>
      </c>
      <c r="X613">
        <v>8</v>
      </c>
      <c r="Y613">
        <v>0</v>
      </c>
      <c r="Z613">
        <v>2061</v>
      </c>
      <c r="AA613">
        <v>1384</v>
      </c>
    </row>
    <row r="614" spans="1:27" hidden="1">
      <c r="A614">
        <v>48</v>
      </c>
      <c r="B614">
        <v>0</v>
      </c>
      <c r="C614">
        <v>23.634033007530839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83</v>
      </c>
      <c r="M614">
        <v>46</v>
      </c>
      <c r="N614">
        <v>21</v>
      </c>
      <c r="O614" s="3">
        <v>2.1904761904761907</v>
      </c>
      <c r="P614">
        <v>17</v>
      </c>
      <c r="Q614">
        <v>58.974358974358971</v>
      </c>
      <c r="R614">
        <v>0.9208704755818018</v>
      </c>
      <c r="S614">
        <v>31.564636671477139</v>
      </c>
      <c r="T614">
        <v>4.8792285153657593</v>
      </c>
      <c r="U614">
        <v>2</v>
      </c>
      <c r="V614">
        <v>4</v>
      </c>
      <c r="W614">
        <v>47</v>
      </c>
      <c r="X614">
        <v>0</v>
      </c>
      <c r="Y614">
        <v>3</v>
      </c>
      <c r="Z614">
        <v>343</v>
      </c>
      <c r="AA614">
        <v>265</v>
      </c>
    </row>
    <row r="615" spans="1:27" hidden="1">
      <c r="A615">
        <v>54</v>
      </c>
      <c r="B615">
        <v>1</v>
      </c>
      <c r="C615">
        <v>23.808690171912751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64</v>
      </c>
      <c r="M615">
        <v>72</v>
      </c>
      <c r="N615">
        <v>109</v>
      </c>
      <c r="O615" s="3">
        <v>0.66055045871559637</v>
      </c>
      <c r="P615">
        <v>19</v>
      </c>
      <c r="Q615">
        <v>34.285714285714278</v>
      </c>
      <c r="R615">
        <v>1.092003313412472</v>
      </c>
      <c r="S615">
        <v>31.1734225404306</v>
      </c>
      <c r="T615">
        <v>5.0465627230876349</v>
      </c>
      <c r="U615">
        <v>2</v>
      </c>
      <c r="V615">
        <v>14</v>
      </c>
      <c r="W615">
        <v>59</v>
      </c>
      <c r="X615">
        <v>3</v>
      </c>
      <c r="Y615">
        <v>2</v>
      </c>
      <c r="Z615">
        <v>387</v>
      </c>
      <c r="AA615">
        <v>177</v>
      </c>
    </row>
    <row r="616" spans="1:27" hidden="1">
      <c r="A616">
        <v>42</v>
      </c>
      <c r="B616">
        <v>1</v>
      </c>
      <c r="C616">
        <v>24.801587301587301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65</v>
      </c>
      <c r="M616">
        <v>900</v>
      </c>
      <c r="N616">
        <v>455</v>
      </c>
      <c r="O616" s="3">
        <v>1.9780219780219781</v>
      </c>
      <c r="P616">
        <v>50</v>
      </c>
      <c r="Q616">
        <v>62.93706293706294</v>
      </c>
      <c r="R616">
        <v>0.4721572991319069</v>
      </c>
      <c r="S616">
        <v>30.681028858430452</v>
      </c>
      <c r="T616">
        <v>10.58388002208644</v>
      </c>
      <c r="U616">
        <v>11</v>
      </c>
      <c r="V616">
        <v>2</v>
      </c>
      <c r="W616">
        <v>61</v>
      </c>
      <c r="X616">
        <v>6</v>
      </c>
      <c r="Y616">
        <v>6</v>
      </c>
      <c r="Z616">
        <v>2561</v>
      </c>
      <c r="AA616">
        <v>1131</v>
      </c>
    </row>
    <row r="617" spans="1:27">
      <c r="A617">
        <v>47</v>
      </c>
      <c r="B617">
        <v>0</v>
      </c>
      <c r="C617">
        <v>21.36752136752137</v>
      </c>
      <c r="D617">
        <v>0</v>
      </c>
      <c r="E617">
        <v>1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95</v>
      </c>
      <c r="M617">
        <v>85</v>
      </c>
      <c r="N617">
        <v>26</v>
      </c>
      <c r="O617" s="3">
        <v>3.2692307692307692</v>
      </c>
      <c r="P617">
        <v>15</v>
      </c>
      <c r="Q617">
        <v>72.033898305084747</v>
      </c>
      <c r="R617">
        <v>0.93308443759730042</v>
      </c>
      <c r="S617">
        <v>31.391070979379169</v>
      </c>
      <c r="T617">
        <v>5.688930018315018</v>
      </c>
      <c r="U617">
        <v>15</v>
      </c>
      <c r="V617">
        <v>16</v>
      </c>
      <c r="W617">
        <v>57</v>
      </c>
      <c r="X617">
        <v>17</v>
      </c>
      <c r="Y617">
        <v>21</v>
      </c>
      <c r="Z617">
        <v>251</v>
      </c>
      <c r="AA617">
        <v>133</v>
      </c>
    </row>
    <row r="618" spans="1:27" hidden="1">
      <c r="A618">
        <v>49</v>
      </c>
      <c r="B618">
        <v>0</v>
      </c>
      <c r="C618">
        <v>21.786492374727668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92</v>
      </c>
      <c r="M618">
        <v>316</v>
      </c>
      <c r="N618">
        <v>142</v>
      </c>
      <c r="O618" s="3">
        <v>2.2253521126760565</v>
      </c>
      <c r="P618">
        <v>25</v>
      </c>
      <c r="Q618">
        <v>64.621676891615536</v>
      </c>
      <c r="R618">
        <v>0.53612439136693735</v>
      </c>
      <c r="S618">
        <v>30.212739220800341</v>
      </c>
      <c r="T618">
        <v>6.3488347613302532</v>
      </c>
      <c r="U618">
        <v>12</v>
      </c>
      <c r="V618">
        <v>32</v>
      </c>
      <c r="W618">
        <v>64</v>
      </c>
      <c r="X618">
        <v>17</v>
      </c>
      <c r="Y618">
        <v>19</v>
      </c>
      <c r="Z618">
        <v>705</v>
      </c>
      <c r="AA618">
        <v>216</v>
      </c>
    </row>
    <row r="619" spans="1:27" hidden="1">
      <c r="A619">
        <v>20</v>
      </c>
      <c r="B619">
        <v>1</v>
      </c>
      <c r="C619">
        <v>24.441802087462019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88</v>
      </c>
      <c r="M619">
        <v>1065</v>
      </c>
      <c r="N619">
        <v>333</v>
      </c>
      <c r="O619" s="4">
        <v>3.1981981981981984</v>
      </c>
      <c r="P619">
        <v>53</v>
      </c>
      <c r="Q619">
        <v>71.476510067114091</v>
      </c>
      <c r="R619">
        <v>1.6135773015873009</v>
      </c>
      <c r="S619">
        <v>30.445624201192331</v>
      </c>
      <c r="T619">
        <v>12.46861084795573</v>
      </c>
      <c r="U619">
        <v>5</v>
      </c>
      <c r="V619">
        <v>12</v>
      </c>
      <c r="W619">
        <v>54</v>
      </c>
      <c r="X619">
        <v>0</v>
      </c>
      <c r="Y619">
        <v>6</v>
      </c>
      <c r="Z619">
        <v>2978</v>
      </c>
      <c r="AA619">
        <v>1488</v>
      </c>
    </row>
    <row r="620" spans="1:27" hidden="1">
      <c r="A620">
        <v>30</v>
      </c>
      <c r="B620">
        <v>1</v>
      </c>
      <c r="C620">
        <v>28.086419753086421</v>
      </c>
      <c r="D620">
        <v>0</v>
      </c>
      <c r="E620">
        <v>1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76</v>
      </c>
      <c r="M620">
        <v>7070</v>
      </c>
      <c r="N620">
        <v>10978</v>
      </c>
      <c r="O620" s="3">
        <v>0.64401530333394064</v>
      </c>
      <c r="P620">
        <v>262</v>
      </c>
      <c r="Q620">
        <v>24.478066682823801</v>
      </c>
      <c r="R620">
        <v>0.58657563614424746</v>
      </c>
      <c r="S620">
        <v>29.707899499680181</v>
      </c>
      <c r="T620">
        <v>22.78469773809524</v>
      </c>
      <c r="U620">
        <v>11</v>
      </c>
      <c r="V620">
        <v>46</v>
      </c>
      <c r="W620">
        <v>58</v>
      </c>
      <c r="X620">
        <v>6</v>
      </c>
      <c r="Y620">
        <v>11</v>
      </c>
      <c r="Z620">
        <v>41015</v>
      </c>
      <c r="AA620">
        <v>12132</v>
      </c>
    </row>
    <row r="621" spans="1:27">
      <c r="A621">
        <v>45</v>
      </c>
      <c r="B621">
        <v>0</v>
      </c>
      <c r="C621">
        <v>20.32225286688924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75</v>
      </c>
      <c r="M621">
        <v>154</v>
      </c>
      <c r="N621">
        <v>52</v>
      </c>
      <c r="O621" s="3">
        <v>2.9615384615384617</v>
      </c>
      <c r="P621">
        <v>27</v>
      </c>
      <c r="Q621">
        <v>67.248908296943227</v>
      </c>
      <c r="R621">
        <v>0.62264454937361424</v>
      </c>
      <c r="S621">
        <v>30.436263569014951</v>
      </c>
      <c r="T621">
        <v>5.966101454642625</v>
      </c>
      <c r="U621">
        <v>18</v>
      </c>
      <c r="V621">
        <v>50</v>
      </c>
      <c r="W621">
        <v>72</v>
      </c>
      <c r="X621">
        <v>37</v>
      </c>
      <c r="Y621">
        <v>36</v>
      </c>
      <c r="Z621">
        <v>709</v>
      </c>
      <c r="AA621">
        <v>480</v>
      </c>
    </row>
    <row r="622" spans="1:27" hidden="1">
      <c r="A622">
        <v>47</v>
      </c>
      <c r="B622">
        <v>0</v>
      </c>
      <c r="C622">
        <v>20.820939916716249</v>
      </c>
      <c r="D622">
        <v>0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71</v>
      </c>
      <c r="M622">
        <v>340</v>
      </c>
      <c r="N622">
        <v>297</v>
      </c>
      <c r="O622" s="4">
        <v>1.1447811447811447</v>
      </c>
      <c r="P622">
        <v>38</v>
      </c>
      <c r="Q622">
        <v>38.812785388127857</v>
      </c>
      <c r="R622">
        <v>0.41045962464931018</v>
      </c>
      <c r="S622">
        <v>30.39427125853037</v>
      </c>
      <c r="T622">
        <v>7.7670535263670697</v>
      </c>
      <c r="U622">
        <v>12</v>
      </c>
      <c r="V622">
        <v>44</v>
      </c>
      <c r="W622">
        <v>65</v>
      </c>
      <c r="X622">
        <v>24</v>
      </c>
      <c r="Y622">
        <v>24</v>
      </c>
      <c r="Z622">
        <v>1286</v>
      </c>
      <c r="AA622">
        <v>410</v>
      </c>
    </row>
    <row r="623" spans="1:27" hidden="1">
      <c r="A623">
        <v>50</v>
      </c>
      <c r="B623">
        <v>0</v>
      </c>
      <c r="C623">
        <v>19.63111760409058</v>
      </c>
      <c r="D623">
        <v>0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67</v>
      </c>
      <c r="M623">
        <v>139</v>
      </c>
      <c r="N623">
        <v>83</v>
      </c>
      <c r="O623" s="3">
        <v>1.6746987951807228</v>
      </c>
      <c r="P623">
        <v>28</v>
      </c>
      <c r="Q623">
        <v>56.275303643724698</v>
      </c>
      <c r="R623">
        <v>0.4626698696525689</v>
      </c>
      <c r="S623">
        <v>29.07607066928799</v>
      </c>
      <c r="T623">
        <v>5.6656321651367696</v>
      </c>
      <c r="U623">
        <v>8</v>
      </c>
      <c r="V623">
        <v>36</v>
      </c>
      <c r="W623">
        <v>60</v>
      </c>
      <c r="X623">
        <v>6</v>
      </c>
      <c r="Y623">
        <v>11</v>
      </c>
      <c r="Z623">
        <v>774</v>
      </c>
      <c r="AA623">
        <v>527</v>
      </c>
    </row>
    <row r="624" spans="1:27" hidden="1">
      <c r="A624">
        <v>41</v>
      </c>
      <c r="B624">
        <v>1</v>
      </c>
      <c r="C624">
        <v>24.163265306122451</v>
      </c>
      <c r="D624">
        <v>0</v>
      </c>
      <c r="E624">
        <v>1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95</v>
      </c>
      <c r="M624">
        <v>291</v>
      </c>
      <c r="N624">
        <v>230</v>
      </c>
      <c r="O624" s="3">
        <v>1.2652173913043478</v>
      </c>
      <c r="P624">
        <v>33</v>
      </c>
      <c r="Q624">
        <v>53.296703296703299</v>
      </c>
      <c r="R624">
        <v>0.74760573282844978</v>
      </c>
      <c r="S624">
        <v>29.71623816666067</v>
      </c>
      <c r="T624">
        <v>7.7960358324719836</v>
      </c>
      <c r="U624">
        <v>8</v>
      </c>
      <c r="V624">
        <v>20</v>
      </c>
      <c r="W624">
        <v>52</v>
      </c>
      <c r="X624">
        <v>23</v>
      </c>
      <c r="Y624">
        <v>18</v>
      </c>
      <c r="Z624">
        <v>1184</v>
      </c>
      <c r="AA624">
        <v>638</v>
      </c>
    </row>
    <row r="625" spans="1:27" hidden="1">
      <c r="A625">
        <v>34</v>
      </c>
      <c r="B625">
        <v>1</v>
      </c>
      <c r="C625">
        <v>19.031141868512108</v>
      </c>
      <c r="D625">
        <v>0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94</v>
      </c>
      <c r="M625">
        <v>455</v>
      </c>
      <c r="N625">
        <v>43</v>
      </c>
      <c r="O625" s="3">
        <v>10.581395348837209</v>
      </c>
      <c r="P625">
        <v>24</v>
      </c>
      <c r="Q625">
        <v>88.178294573643413</v>
      </c>
      <c r="R625">
        <v>1.3013319841269839</v>
      </c>
      <c r="S625">
        <v>28.693585090734899</v>
      </c>
      <c r="T625">
        <v>7.1557814249639229</v>
      </c>
      <c r="U625">
        <v>14</v>
      </c>
      <c r="V625">
        <v>42</v>
      </c>
      <c r="W625">
        <v>55</v>
      </c>
      <c r="X625">
        <v>13</v>
      </c>
      <c r="Y625">
        <v>14</v>
      </c>
      <c r="Z625">
        <v>699</v>
      </c>
      <c r="AA625">
        <v>183</v>
      </c>
    </row>
    <row r="626" spans="1:27" hidden="1">
      <c r="A626">
        <v>45</v>
      </c>
      <c r="B626">
        <v>0</v>
      </c>
      <c r="C626">
        <v>19.948059768903612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72</v>
      </c>
      <c r="M626">
        <v>818</v>
      </c>
      <c r="N626">
        <v>378</v>
      </c>
      <c r="O626" s="4">
        <v>2.1640211640211642</v>
      </c>
      <c r="P626">
        <v>46</v>
      </c>
      <c r="Q626">
        <v>63.558663558663561</v>
      </c>
      <c r="R626">
        <v>0.39182852372590299</v>
      </c>
      <c r="S626">
        <v>30.876139438086149</v>
      </c>
      <c r="T626">
        <v>9.1165753259562798</v>
      </c>
      <c r="U626">
        <v>7</v>
      </c>
      <c r="V626">
        <v>17</v>
      </c>
      <c r="W626">
        <v>77</v>
      </c>
      <c r="X626">
        <v>13</v>
      </c>
      <c r="Y626">
        <v>14</v>
      </c>
      <c r="Z626">
        <v>1910</v>
      </c>
      <c r="AA626">
        <v>623</v>
      </c>
    </row>
    <row r="627" spans="1:27" hidden="1">
      <c r="A627">
        <v>61</v>
      </c>
      <c r="B627">
        <v>1</v>
      </c>
      <c r="C627">
        <v>18.710949246550172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92</v>
      </c>
      <c r="M627">
        <v>77</v>
      </c>
      <c r="N627">
        <v>91</v>
      </c>
      <c r="O627" s="3">
        <v>0.84615384615384615</v>
      </c>
      <c r="P627">
        <v>19</v>
      </c>
      <c r="Q627">
        <v>34.841628959276022</v>
      </c>
      <c r="R627">
        <v>1.07942029789222</v>
      </c>
      <c r="S627">
        <v>31.11851130158135</v>
      </c>
      <c r="T627">
        <v>4.9682351893939396</v>
      </c>
      <c r="U627">
        <v>2</v>
      </c>
      <c r="V627">
        <v>14</v>
      </c>
      <c r="W627">
        <v>78</v>
      </c>
      <c r="X627">
        <v>3</v>
      </c>
      <c r="Y627">
        <v>8</v>
      </c>
      <c r="Z627">
        <v>364</v>
      </c>
      <c r="AA627">
        <v>143</v>
      </c>
    </row>
    <row r="628" spans="1:27" hidden="1">
      <c r="A628">
        <v>36</v>
      </c>
      <c r="B628">
        <v>0</v>
      </c>
      <c r="C628">
        <v>27.191789833779222</v>
      </c>
      <c r="D628">
        <v>0</v>
      </c>
      <c r="E628">
        <v>1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75</v>
      </c>
      <c r="M628">
        <v>178</v>
      </c>
      <c r="N628">
        <v>80</v>
      </c>
      <c r="O628" s="3">
        <v>2.2250000000000001</v>
      </c>
      <c r="P628">
        <v>22</v>
      </c>
      <c r="Q628">
        <v>64.727272727272734</v>
      </c>
      <c r="R628">
        <v>0.4682515502101755</v>
      </c>
      <c r="S628">
        <v>31.577862178076511</v>
      </c>
      <c r="T628">
        <v>6.2887787178997447</v>
      </c>
      <c r="U628">
        <v>14</v>
      </c>
      <c r="V628">
        <v>13</v>
      </c>
      <c r="W628">
        <v>52</v>
      </c>
      <c r="X628">
        <v>11</v>
      </c>
      <c r="Y628">
        <v>21</v>
      </c>
      <c r="Z628">
        <v>556</v>
      </c>
      <c r="AA628">
        <v>281</v>
      </c>
    </row>
    <row r="629" spans="1:27">
      <c r="A629">
        <v>39</v>
      </c>
      <c r="B629">
        <v>0</v>
      </c>
      <c r="C629">
        <v>34.293552812071333</v>
      </c>
      <c r="D629">
        <v>0</v>
      </c>
      <c r="E629">
        <v>0</v>
      </c>
      <c r="F629">
        <v>1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103</v>
      </c>
      <c r="M629">
        <v>7013</v>
      </c>
      <c r="N629">
        <v>15719</v>
      </c>
      <c r="O629" s="3">
        <v>0.4461479737896813</v>
      </c>
      <c r="P629">
        <v>205</v>
      </c>
      <c r="Q629">
        <v>18.548493744875561</v>
      </c>
      <c r="R629">
        <v>0.6842540704768405</v>
      </c>
      <c r="S629">
        <v>29.725379749602261</v>
      </c>
      <c r="T629">
        <v>40.948418730158743</v>
      </c>
      <c r="U629">
        <v>11</v>
      </c>
      <c r="V629">
        <v>13</v>
      </c>
      <c r="W629">
        <v>46</v>
      </c>
      <c r="X629">
        <v>23</v>
      </c>
      <c r="Y629">
        <v>27</v>
      </c>
      <c r="Z629">
        <v>40537</v>
      </c>
      <c r="AA629">
        <v>2728</v>
      </c>
    </row>
    <row r="630" spans="1:27" hidden="1">
      <c r="A630">
        <v>25</v>
      </c>
      <c r="B630">
        <v>1</v>
      </c>
      <c r="C630">
        <v>18.591130340724721</v>
      </c>
      <c r="D630">
        <v>0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91</v>
      </c>
      <c r="M630">
        <v>339</v>
      </c>
      <c r="N630">
        <v>68</v>
      </c>
      <c r="O630" s="3">
        <v>4.9852941176470589</v>
      </c>
      <c r="P630">
        <v>29</v>
      </c>
      <c r="Q630">
        <v>77.574370709382151</v>
      </c>
      <c r="R630">
        <v>1.7233344291819279</v>
      </c>
      <c r="S630">
        <v>30.584687619047632</v>
      </c>
      <c r="T630">
        <v>6.3205864682539694</v>
      </c>
      <c r="U630">
        <v>25</v>
      </c>
      <c r="V630">
        <v>56</v>
      </c>
      <c r="W630">
        <v>100</v>
      </c>
      <c r="X630">
        <v>43</v>
      </c>
      <c r="Y630">
        <v>61</v>
      </c>
      <c r="Z630">
        <v>947</v>
      </c>
      <c r="AA630">
        <v>510</v>
      </c>
    </row>
    <row r="631" spans="1:27" hidden="1">
      <c r="A631">
        <v>47</v>
      </c>
      <c r="B631">
        <v>0</v>
      </c>
      <c r="C631">
        <v>25.97011554819527</v>
      </c>
      <c r="D631">
        <v>0</v>
      </c>
      <c r="E631">
        <v>1</v>
      </c>
      <c r="F631">
        <v>0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60</v>
      </c>
      <c r="M631">
        <v>367</v>
      </c>
      <c r="N631">
        <v>245</v>
      </c>
      <c r="O631" s="3">
        <v>1.4979591836734694</v>
      </c>
      <c r="P631">
        <v>37</v>
      </c>
      <c r="Q631">
        <v>52.279202279202281</v>
      </c>
      <c r="R631">
        <v>1.18732754941438</v>
      </c>
      <c r="S631">
        <v>30.12923493653966</v>
      </c>
      <c r="T631">
        <v>6.0013365654103197</v>
      </c>
      <c r="U631">
        <v>15</v>
      </c>
      <c r="V631">
        <v>27</v>
      </c>
      <c r="W631">
        <v>65</v>
      </c>
      <c r="X631">
        <v>22</v>
      </c>
      <c r="Y631">
        <v>23</v>
      </c>
      <c r="Z631">
        <v>1335</v>
      </c>
      <c r="AA631">
        <v>633</v>
      </c>
    </row>
    <row r="632" spans="1:27" hidden="1">
      <c r="A632">
        <v>50</v>
      </c>
      <c r="B632">
        <v>1</v>
      </c>
      <c r="C632">
        <v>17.239048134126559</v>
      </c>
      <c r="D632">
        <v>0</v>
      </c>
      <c r="E632">
        <v>1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69</v>
      </c>
      <c r="M632">
        <v>1123</v>
      </c>
      <c r="N632">
        <v>506</v>
      </c>
      <c r="O632" s="3">
        <v>2.2193675889328062</v>
      </c>
      <c r="P632">
        <v>57</v>
      </c>
      <c r="Q632">
        <v>63.95216400911162</v>
      </c>
      <c r="R632">
        <v>0.64634042114468271</v>
      </c>
      <c r="S632">
        <v>29.691711922177301</v>
      </c>
      <c r="T632">
        <v>10.04271691006843</v>
      </c>
      <c r="U632">
        <v>16</v>
      </c>
      <c r="V632">
        <v>30</v>
      </c>
      <c r="W632">
        <v>67</v>
      </c>
      <c r="X632">
        <v>27</v>
      </c>
      <c r="Y632">
        <v>32</v>
      </c>
      <c r="Z632">
        <v>3123</v>
      </c>
      <c r="AA632">
        <v>1367</v>
      </c>
    </row>
    <row r="633" spans="1:27" hidden="1">
      <c r="A633">
        <v>64</v>
      </c>
      <c r="B633">
        <v>0</v>
      </c>
      <c r="C633">
        <v>19.723865877712029</v>
      </c>
      <c r="D633">
        <v>0</v>
      </c>
      <c r="E633">
        <v>1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63</v>
      </c>
      <c r="M633">
        <v>337</v>
      </c>
      <c r="N633">
        <v>528</v>
      </c>
      <c r="O633" s="3">
        <v>0.6382575757575758</v>
      </c>
      <c r="P633">
        <v>43</v>
      </c>
      <c r="Q633">
        <v>33.632734530938123</v>
      </c>
      <c r="R633">
        <v>0.56896697921855932</v>
      </c>
      <c r="S633">
        <v>30.729371953519649</v>
      </c>
      <c r="T633">
        <v>7.5115701332228673</v>
      </c>
      <c r="U633">
        <v>10</v>
      </c>
      <c r="V633">
        <v>15</v>
      </c>
      <c r="W633">
        <v>69</v>
      </c>
      <c r="X633">
        <v>20</v>
      </c>
      <c r="Y633">
        <v>22</v>
      </c>
      <c r="Z633">
        <v>1698</v>
      </c>
      <c r="AA633">
        <v>696</v>
      </c>
    </row>
    <row r="634" spans="1:27" hidden="1">
      <c r="A634">
        <v>36</v>
      </c>
      <c r="B634">
        <v>0</v>
      </c>
      <c r="C634">
        <v>25.816630212628631</v>
      </c>
      <c r="D634">
        <v>0</v>
      </c>
      <c r="E634">
        <v>1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75</v>
      </c>
      <c r="M634">
        <v>466</v>
      </c>
      <c r="N634">
        <v>225</v>
      </c>
      <c r="O634" s="3">
        <v>2.0711111111111111</v>
      </c>
      <c r="P634">
        <v>37</v>
      </c>
      <c r="Q634">
        <v>59.062103929024083</v>
      </c>
      <c r="R634">
        <v>0.4747344189639211</v>
      </c>
      <c r="S634">
        <v>30.176886692799499</v>
      </c>
      <c r="T634">
        <v>7.5501174517324579</v>
      </c>
      <c r="U634">
        <v>16</v>
      </c>
      <c r="V634">
        <v>19</v>
      </c>
      <c r="W634">
        <v>62</v>
      </c>
      <c r="X634">
        <v>27</v>
      </c>
      <c r="Y634">
        <v>23</v>
      </c>
      <c r="Z634">
        <v>1407</v>
      </c>
      <c r="AA634">
        <v>618</v>
      </c>
    </row>
    <row r="635" spans="1:27" hidden="1">
      <c r="A635">
        <v>64</v>
      </c>
      <c r="B635">
        <v>0</v>
      </c>
      <c r="C635">
        <v>19.227687870533561</v>
      </c>
      <c r="D635">
        <v>0</v>
      </c>
      <c r="E635">
        <v>1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52</v>
      </c>
      <c r="M635">
        <v>677</v>
      </c>
      <c r="N635">
        <v>771</v>
      </c>
      <c r="O635" s="3">
        <v>0.87808041504539558</v>
      </c>
      <c r="P635">
        <v>62</v>
      </c>
      <c r="Q635">
        <v>42.259675405742819</v>
      </c>
      <c r="R635">
        <v>2.026002354379532</v>
      </c>
      <c r="S635">
        <v>29.31845172897215</v>
      </c>
      <c r="T635">
        <v>8.752749105236866</v>
      </c>
      <c r="U635">
        <v>1</v>
      </c>
      <c r="V635">
        <v>9</v>
      </c>
      <c r="W635">
        <v>71</v>
      </c>
      <c r="X635">
        <v>8</v>
      </c>
      <c r="Y635">
        <v>7</v>
      </c>
      <c r="Z635">
        <v>3482</v>
      </c>
      <c r="AA635">
        <v>1880</v>
      </c>
    </row>
    <row r="636" spans="1:27" hidden="1">
      <c r="A636">
        <v>42</v>
      </c>
      <c r="B636">
        <v>0</v>
      </c>
      <c r="C636">
        <v>22.65625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68</v>
      </c>
      <c r="M636">
        <v>182</v>
      </c>
      <c r="N636">
        <v>239</v>
      </c>
      <c r="O636" s="3">
        <v>0.7615062761506276</v>
      </c>
      <c r="P636">
        <v>32</v>
      </c>
      <c r="Q636">
        <v>40.08810572687225</v>
      </c>
      <c r="R636">
        <v>0.42548312991555448</v>
      </c>
      <c r="S636">
        <v>30.83617996636718</v>
      </c>
      <c r="T636">
        <v>7.436635157026573</v>
      </c>
      <c r="U636">
        <v>3</v>
      </c>
      <c r="V636">
        <v>11</v>
      </c>
      <c r="W636">
        <v>58</v>
      </c>
      <c r="X636">
        <v>14</v>
      </c>
      <c r="Y636">
        <v>11</v>
      </c>
      <c r="Z636">
        <v>1006</v>
      </c>
      <c r="AA636">
        <v>552</v>
      </c>
    </row>
    <row r="637" spans="1:27" hidden="1">
      <c r="A637">
        <v>20</v>
      </c>
      <c r="B637">
        <v>0</v>
      </c>
      <c r="C637">
        <v>23.23345617689472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92</v>
      </c>
      <c r="M637">
        <v>180</v>
      </c>
      <c r="N637">
        <v>72</v>
      </c>
      <c r="O637" s="3">
        <v>2.5</v>
      </c>
      <c r="P637">
        <v>32</v>
      </c>
      <c r="Q637">
        <v>56.782334384858054</v>
      </c>
      <c r="R637">
        <v>1.4615709896599809</v>
      </c>
      <c r="S637">
        <v>29.827108702568321</v>
      </c>
      <c r="T637">
        <v>7.200071161882315</v>
      </c>
      <c r="U637">
        <v>1</v>
      </c>
      <c r="V637">
        <v>6</v>
      </c>
      <c r="W637">
        <v>50</v>
      </c>
      <c r="X637">
        <v>6</v>
      </c>
      <c r="Y637">
        <v>4</v>
      </c>
      <c r="Z637">
        <v>1043</v>
      </c>
      <c r="AA637">
        <v>726</v>
      </c>
    </row>
    <row r="638" spans="1:27" hidden="1">
      <c r="A638">
        <v>46</v>
      </c>
      <c r="B638">
        <v>0</v>
      </c>
      <c r="C638">
        <v>21.989892365263682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86</v>
      </c>
      <c r="M638">
        <v>204</v>
      </c>
      <c r="N638">
        <v>122</v>
      </c>
      <c r="O638" s="3">
        <v>1.6721311475409837</v>
      </c>
      <c r="P638">
        <v>27</v>
      </c>
      <c r="Q638">
        <v>54.255319148936167</v>
      </c>
      <c r="R638">
        <v>0.4736468770186803</v>
      </c>
      <c r="S638">
        <v>30.33210321460097</v>
      </c>
      <c r="T638">
        <v>6.068889391144884</v>
      </c>
      <c r="U638">
        <v>16</v>
      </c>
      <c r="V638">
        <v>24</v>
      </c>
      <c r="W638">
        <v>64</v>
      </c>
      <c r="X638">
        <v>14</v>
      </c>
      <c r="Y638">
        <v>17</v>
      </c>
      <c r="Z638">
        <v>801</v>
      </c>
      <c r="AA638">
        <v>425</v>
      </c>
    </row>
    <row r="639" spans="1:27" hidden="1">
      <c r="A639">
        <v>23</v>
      </c>
      <c r="B639">
        <v>0</v>
      </c>
      <c r="C639">
        <v>18.25631871475516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74</v>
      </c>
      <c r="M639">
        <v>1213</v>
      </c>
      <c r="N639">
        <v>616</v>
      </c>
      <c r="O639" s="3">
        <v>1.9691558441558441</v>
      </c>
      <c r="P639">
        <v>56</v>
      </c>
      <c r="Q639">
        <v>62.205128205128197</v>
      </c>
      <c r="R639">
        <v>0.97451216921607076</v>
      </c>
      <c r="S639">
        <v>29.876842988365571</v>
      </c>
      <c r="T639">
        <v>12.624916935045951</v>
      </c>
      <c r="U639">
        <v>3</v>
      </c>
      <c r="V639">
        <v>11</v>
      </c>
      <c r="W639">
        <v>60</v>
      </c>
      <c r="X639">
        <v>0</v>
      </c>
      <c r="Y639">
        <v>0</v>
      </c>
      <c r="Z639">
        <v>2938</v>
      </c>
      <c r="AA639">
        <v>988</v>
      </c>
    </row>
    <row r="640" spans="1:27" hidden="1">
      <c r="A640">
        <v>31</v>
      </c>
      <c r="B640">
        <v>0</v>
      </c>
      <c r="C640">
        <v>26.56961526049697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82</v>
      </c>
      <c r="M640">
        <v>1259</v>
      </c>
      <c r="N640">
        <v>481</v>
      </c>
      <c r="O640" s="3">
        <v>2.6174636174636174</v>
      </c>
      <c r="P640">
        <v>51</v>
      </c>
      <c r="Q640">
        <v>65.504682622268476</v>
      </c>
      <c r="R640">
        <v>0.47160553401105959</v>
      </c>
      <c r="S640">
        <v>28.22377407636225</v>
      </c>
      <c r="T640">
        <v>12.774400910724051</v>
      </c>
      <c r="U640">
        <v>4</v>
      </c>
      <c r="V640">
        <v>10</v>
      </c>
      <c r="W640">
        <v>35</v>
      </c>
      <c r="X640">
        <v>5</v>
      </c>
      <c r="Y640">
        <v>3</v>
      </c>
      <c r="Z640">
        <v>2690</v>
      </c>
      <c r="AA640">
        <v>768</v>
      </c>
    </row>
    <row r="641" spans="1:27" hidden="1">
      <c r="A641">
        <v>34</v>
      </c>
      <c r="B641">
        <v>0</v>
      </c>
      <c r="C641">
        <v>20.202020202020201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73</v>
      </c>
      <c r="M641">
        <v>267</v>
      </c>
      <c r="N641">
        <v>146</v>
      </c>
      <c r="O641" s="3">
        <v>1.8287671232876712</v>
      </c>
      <c r="P641">
        <v>31</v>
      </c>
      <c r="Q641">
        <v>58.424507658643329</v>
      </c>
      <c r="R641">
        <v>0.39096877459170393</v>
      </c>
      <c r="S641">
        <v>30.774584339793339</v>
      </c>
      <c r="T641">
        <v>6.9821591474357971</v>
      </c>
      <c r="U641">
        <v>10</v>
      </c>
      <c r="V641">
        <v>22</v>
      </c>
      <c r="W641">
        <v>68</v>
      </c>
      <c r="X641">
        <v>17</v>
      </c>
      <c r="Y641">
        <v>17</v>
      </c>
      <c r="Z641">
        <v>944</v>
      </c>
      <c r="AA641">
        <v>487</v>
      </c>
    </row>
    <row r="642" spans="1:27" hidden="1">
      <c r="A642">
        <v>33</v>
      </c>
      <c r="B642">
        <v>0</v>
      </c>
      <c r="C642">
        <v>24.609375</v>
      </c>
      <c r="D642">
        <v>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77</v>
      </c>
      <c r="M642">
        <v>1120</v>
      </c>
      <c r="N642">
        <v>862</v>
      </c>
      <c r="O642" s="3">
        <v>1.2993039443155452</v>
      </c>
      <c r="P642">
        <v>61</v>
      </c>
      <c r="Q642">
        <v>54.474708171206217</v>
      </c>
      <c r="R642">
        <v>0.64654182973161045</v>
      </c>
      <c r="S642">
        <v>29.171121123523481</v>
      </c>
      <c r="T642">
        <v>13.86186635737989</v>
      </c>
      <c r="U642">
        <v>0</v>
      </c>
      <c r="V642">
        <v>15</v>
      </c>
      <c r="W642">
        <v>58</v>
      </c>
      <c r="X642">
        <v>18</v>
      </c>
      <c r="Y642">
        <v>1</v>
      </c>
      <c r="Z642">
        <v>3538</v>
      </c>
      <c r="AA642">
        <v>1482</v>
      </c>
    </row>
    <row r="643" spans="1:27" hidden="1">
      <c r="A643">
        <v>44</v>
      </c>
      <c r="B643">
        <v>0</v>
      </c>
      <c r="C643">
        <v>22.83737024221454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82</v>
      </c>
      <c r="M643">
        <v>103</v>
      </c>
      <c r="N643">
        <v>55</v>
      </c>
      <c r="O643" s="3">
        <v>1.8727272727272728</v>
      </c>
      <c r="P643">
        <v>20</v>
      </c>
      <c r="Q643">
        <v>55.978260869565219</v>
      </c>
      <c r="R643">
        <v>0.40538889292246438</v>
      </c>
      <c r="S643">
        <v>30.787528348931229</v>
      </c>
      <c r="T643">
        <v>5.3278088715211984</v>
      </c>
      <c r="U643">
        <v>9</v>
      </c>
      <c r="V643">
        <v>3</v>
      </c>
      <c r="W643">
        <v>42</v>
      </c>
      <c r="X643">
        <v>16</v>
      </c>
      <c r="Y643">
        <v>9</v>
      </c>
      <c r="Z643">
        <v>432</v>
      </c>
      <c r="AA643">
        <v>248</v>
      </c>
    </row>
    <row r="644" spans="1:27" hidden="1">
      <c r="A644">
        <v>39</v>
      </c>
      <c r="B644">
        <v>0</v>
      </c>
      <c r="C644">
        <v>24.835763499439189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69</v>
      </c>
      <c r="M644">
        <v>1171</v>
      </c>
      <c r="N644">
        <v>442</v>
      </c>
      <c r="O644" s="3">
        <v>2.6493212669683257</v>
      </c>
      <c r="P644">
        <v>55</v>
      </c>
      <c r="Q644">
        <v>67.844727694090381</v>
      </c>
      <c r="R644">
        <v>1.01290599014498</v>
      </c>
      <c r="S644">
        <v>29.955434000845429</v>
      </c>
      <c r="T644">
        <v>11.66973577373385</v>
      </c>
      <c r="U644">
        <v>4</v>
      </c>
      <c r="V644">
        <v>9</v>
      </c>
      <c r="W644">
        <v>46</v>
      </c>
      <c r="X644">
        <v>1</v>
      </c>
      <c r="Y644">
        <v>0</v>
      </c>
      <c r="Z644">
        <v>2876</v>
      </c>
      <c r="AA644">
        <v>1150</v>
      </c>
    </row>
    <row r="645" spans="1:27" hidden="1">
      <c r="A645">
        <v>31</v>
      </c>
      <c r="B645">
        <v>0</v>
      </c>
      <c r="C645">
        <v>26.502116213757361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79</v>
      </c>
      <c r="M645">
        <v>1487</v>
      </c>
      <c r="N645">
        <v>453</v>
      </c>
      <c r="O645" s="3">
        <v>3.2825607064017661</v>
      </c>
      <c r="P645">
        <v>56</v>
      </c>
      <c r="Q645">
        <v>73.759920634920633</v>
      </c>
      <c r="R645">
        <v>1.1597746004352489</v>
      </c>
      <c r="S645">
        <v>29.309944977523109</v>
      </c>
      <c r="T645">
        <v>12.48379157536832</v>
      </c>
      <c r="U645">
        <v>2</v>
      </c>
      <c r="V645">
        <v>17</v>
      </c>
      <c r="W645">
        <v>42</v>
      </c>
      <c r="X645">
        <v>8</v>
      </c>
      <c r="Y645">
        <v>4</v>
      </c>
      <c r="Z645">
        <v>3402</v>
      </c>
      <c r="AA645">
        <v>1386</v>
      </c>
    </row>
    <row r="646" spans="1:27" hidden="1">
      <c r="A646">
        <v>39</v>
      </c>
      <c r="B646">
        <v>0</v>
      </c>
      <c r="C646">
        <v>21.875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93</v>
      </c>
      <c r="M646">
        <v>267</v>
      </c>
      <c r="N646">
        <v>247</v>
      </c>
      <c r="O646" s="3">
        <v>1.0809716599190284</v>
      </c>
      <c r="P646">
        <v>29</v>
      </c>
      <c r="Q646">
        <v>47.089947089947088</v>
      </c>
      <c r="R646">
        <v>1.0906795758964289</v>
      </c>
      <c r="S646">
        <v>31.088564901054319</v>
      </c>
      <c r="T646">
        <v>8.1187204736148662</v>
      </c>
      <c r="U646">
        <v>0</v>
      </c>
      <c r="V646">
        <v>5</v>
      </c>
      <c r="W646">
        <v>71</v>
      </c>
      <c r="X646">
        <v>1</v>
      </c>
      <c r="Y646">
        <v>0</v>
      </c>
      <c r="Z646">
        <v>921</v>
      </c>
      <c r="AA646">
        <v>354</v>
      </c>
    </row>
    <row r="647" spans="1:27" hidden="1">
      <c r="A647">
        <v>47</v>
      </c>
      <c r="B647">
        <v>0</v>
      </c>
      <c r="C647">
        <v>19.227687870533561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73</v>
      </c>
      <c r="M647">
        <v>1735</v>
      </c>
      <c r="N647">
        <v>855</v>
      </c>
      <c r="O647" s="8">
        <f>L647/M647</f>
        <v>4.2074927953890492E-2</v>
      </c>
      <c r="P647">
        <v>67</v>
      </c>
      <c r="Q647">
        <v>58.733920108327688</v>
      </c>
      <c r="R647">
        <v>0.91654762838552062</v>
      </c>
      <c r="S647">
        <v>29.256874417900981</v>
      </c>
      <c r="T647">
        <v>12.81419052631578</v>
      </c>
      <c r="U647">
        <v>4</v>
      </c>
      <c r="V647">
        <v>5</v>
      </c>
      <c r="W647">
        <v>43</v>
      </c>
      <c r="X647">
        <v>2</v>
      </c>
      <c r="Y647">
        <v>2</v>
      </c>
      <c r="Z647">
        <v>4107</v>
      </c>
      <c r="AA647">
        <v>1153</v>
      </c>
    </row>
    <row r="648" spans="1:27" hidden="1">
      <c r="A648">
        <v>66</v>
      </c>
      <c r="B648">
        <v>1</v>
      </c>
      <c r="C648">
        <v>24.62296091104956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88</v>
      </c>
      <c r="M648">
        <v>63</v>
      </c>
      <c r="N648">
        <v>18</v>
      </c>
      <c r="O648" s="3">
        <v>3.5</v>
      </c>
      <c r="P648">
        <v>12</v>
      </c>
      <c r="Q648">
        <v>69.230769230769226</v>
      </c>
      <c r="R648">
        <v>1.8213897211492469</v>
      </c>
      <c r="S648">
        <v>32.084788357963319</v>
      </c>
      <c r="T648">
        <v>5.3385241269695216</v>
      </c>
      <c r="U648">
        <v>0</v>
      </c>
      <c r="V648">
        <v>12</v>
      </c>
      <c r="W648">
        <v>73</v>
      </c>
      <c r="X648">
        <v>5</v>
      </c>
      <c r="Y648">
        <v>0</v>
      </c>
      <c r="Z648">
        <v>182</v>
      </c>
      <c r="AA648">
        <v>91</v>
      </c>
    </row>
    <row r="649" spans="1:27" hidden="1">
      <c r="A649">
        <v>42</v>
      </c>
      <c r="B649">
        <v>0</v>
      </c>
      <c r="C649">
        <v>26.171875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86</v>
      </c>
      <c r="M649">
        <v>57</v>
      </c>
      <c r="N649">
        <v>120</v>
      </c>
      <c r="O649" s="3">
        <v>0.47499999999999998</v>
      </c>
      <c r="P649">
        <v>18</v>
      </c>
      <c r="Q649">
        <v>28.787878787878789</v>
      </c>
      <c r="R649">
        <v>0.34472443181342061</v>
      </c>
      <c r="S649">
        <v>31.571351615016681</v>
      </c>
      <c r="T649">
        <v>5.3628283804181338</v>
      </c>
      <c r="U649">
        <v>12</v>
      </c>
      <c r="V649">
        <v>21</v>
      </c>
      <c r="W649">
        <v>63</v>
      </c>
      <c r="X649">
        <v>11</v>
      </c>
      <c r="Y649">
        <v>13</v>
      </c>
      <c r="Z649">
        <v>357</v>
      </c>
      <c r="AA649">
        <v>159</v>
      </c>
    </row>
    <row r="650" spans="1:27" hidden="1">
      <c r="A650">
        <v>41</v>
      </c>
      <c r="B650">
        <v>0</v>
      </c>
      <c r="C650">
        <v>28.04037814452812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89</v>
      </c>
      <c r="M650">
        <v>105</v>
      </c>
      <c r="N650">
        <v>119</v>
      </c>
      <c r="O650" s="8">
        <f>L650/M650</f>
        <v>0.84761904761904761</v>
      </c>
      <c r="P650">
        <v>18</v>
      </c>
      <c r="Q650">
        <v>41.338582677165363</v>
      </c>
      <c r="R650">
        <v>0.50644061653166328</v>
      </c>
      <c r="S650">
        <v>31.58738814287161</v>
      </c>
      <c r="T650">
        <v>6.1779425574138456</v>
      </c>
      <c r="U650">
        <v>4</v>
      </c>
      <c r="V650">
        <v>4</v>
      </c>
      <c r="W650">
        <v>46</v>
      </c>
      <c r="X650">
        <v>4</v>
      </c>
      <c r="Y650">
        <v>1</v>
      </c>
      <c r="Z650">
        <v>359</v>
      </c>
      <c r="AA650">
        <v>105</v>
      </c>
    </row>
    <row r="651" spans="1:27">
      <c r="A651">
        <v>41</v>
      </c>
      <c r="B651">
        <v>0</v>
      </c>
      <c r="C651">
        <v>19.77769866698311</v>
      </c>
      <c r="D651">
        <v>0</v>
      </c>
      <c r="E651">
        <v>0</v>
      </c>
      <c r="F651">
        <v>1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71</v>
      </c>
      <c r="M651">
        <v>120</v>
      </c>
      <c r="N651">
        <v>164</v>
      </c>
      <c r="O651" s="3">
        <v>0.73170731707317072</v>
      </c>
      <c r="P651">
        <v>26</v>
      </c>
      <c r="Q651">
        <v>35.608308605341243</v>
      </c>
      <c r="R651">
        <v>0.39407524670334548</v>
      </c>
      <c r="S651">
        <v>29.270276044119949</v>
      </c>
      <c r="T651">
        <v>6.7013866039611711</v>
      </c>
      <c r="U651">
        <v>10</v>
      </c>
      <c r="V651">
        <v>16</v>
      </c>
      <c r="W651">
        <v>45</v>
      </c>
      <c r="X651">
        <v>31</v>
      </c>
      <c r="Y651">
        <v>27</v>
      </c>
      <c r="Z651">
        <v>670</v>
      </c>
      <c r="AA651">
        <v>333</v>
      </c>
    </row>
    <row r="652" spans="1:27" hidden="1">
      <c r="A652">
        <v>62</v>
      </c>
      <c r="B652">
        <v>0</v>
      </c>
      <c r="C652">
        <v>21.096190514828191</v>
      </c>
      <c r="D652">
        <v>0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73</v>
      </c>
      <c r="M652">
        <v>104</v>
      </c>
      <c r="N652">
        <v>175</v>
      </c>
      <c r="O652" s="3">
        <v>0.59428571428571431</v>
      </c>
      <c r="P652">
        <v>27</v>
      </c>
      <c r="Q652">
        <v>31.515151515151519</v>
      </c>
      <c r="R652">
        <v>0.38293393665597208</v>
      </c>
      <c r="S652">
        <v>30.796933237848741</v>
      </c>
      <c r="T652">
        <v>5.9158861808746339</v>
      </c>
      <c r="U652">
        <v>6</v>
      </c>
      <c r="V652">
        <v>13</v>
      </c>
      <c r="W652">
        <v>60</v>
      </c>
      <c r="X652">
        <v>8</v>
      </c>
      <c r="Y652">
        <v>10</v>
      </c>
      <c r="Z652">
        <v>722</v>
      </c>
      <c r="AA652">
        <v>392</v>
      </c>
    </row>
    <row r="653" spans="1:27" hidden="1">
      <c r="A653">
        <v>59</v>
      </c>
      <c r="B653">
        <v>1</v>
      </c>
      <c r="C653">
        <v>25.64891761567662</v>
      </c>
      <c r="D653">
        <v>0</v>
      </c>
      <c r="E653">
        <v>1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58</v>
      </c>
      <c r="M653">
        <v>71</v>
      </c>
      <c r="N653">
        <v>266</v>
      </c>
      <c r="O653" s="3">
        <v>0.26691729323308272</v>
      </c>
      <c r="P653">
        <v>31</v>
      </c>
      <c r="Q653">
        <v>17.929292929292931</v>
      </c>
      <c r="R653">
        <v>1.844516835281377</v>
      </c>
      <c r="S653">
        <v>29.347671410551921</v>
      </c>
      <c r="T653">
        <v>6.1814564676087267</v>
      </c>
      <c r="U653">
        <v>10</v>
      </c>
      <c r="V653">
        <v>32</v>
      </c>
      <c r="W653">
        <v>66</v>
      </c>
      <c r="X653">
        <v>15</v>
      </c>
      <c r="Y653">
        <v>17</v>
      </c>
      <c r="Z653">
        <v>824</v>
      </c>
      <c r="AA653">
        <v>428</v>
      </c>
    </row>
    <row r="654" spans="1:27" hidden="1">
      <c r="A654">
        <v>25</v>
      </c>
      <c r="B654">
        <v>0</v>
      </c>
      <c r="C654">
        <v>19.233560749020182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47</v>
      </c>
      <c r="M654">
        <v>958</v>
      </c>
      <c r="N654">
        <v>535</v>
      </c>
      <c r="O654" s="3">
        <v>1.7906542056074766</v>
      </c>
      <c r="P654">
        <v>80</v>
      </c>
      <c r="Q654">
        <v>59.466170080695221</v>
      </c>
      <c r="R654">
        <v>2.05311975724211</v>
      </c>
      <c r="S654">
        <v>26.948644980852489</v>
      </c>
      <c r="T654">
        <v>16.905280121809909</v>
      </c>
      <c r="U654">
        <v>11</v>
      </c>
      <c r="V654">
        <v>31</v>
      </c>
      <c r="W654">
        <v>59</v>
      </c>
      <c r="X654">
        <v>29</v>
      </c>
      <c r="Y654">
        <v>15</v>
      </c>
      <c r="Z654">
        <v>6237</v>
      </c>
      <c r="AA654">
        <v>4626</v>
      </c>
    </row>
    <row r="655" spans="1:27" hidden="1">
      <c r="A655">
        <v>48</v>
      </c>
      <c r="B655">
        <v>1</v>
      </c>
      <c r="C655">
        <v>24.464601603372351</v>
      </c>
      <c r="D655">
        <v>0</v>
      </c>
      <c r="E655">
        <v>1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60</v>
      </c>
      <c r="M655">
        <v>157</v>
      </c>
      <c r="N655">
        <v>114</v>
      </c>
      <c r="O655" s="3">
        <v>1.3771929824561404</v>
      </c>
      <c r="P655">
        <v>51</v>
      </c>
      <c r="Q655">
        <v>50.159744408945677</v>
      </c>
      <c r="R655">
        <v>0.98457555620089876</v>
      </c>
      <c r="S655">
        <v>28.351771526216801</v>
      </c>
      <c r="T655">
        <v>5.9143738529194092</v>
      </c>
      <c r="U655">
        <v>11</v>
      </c>
      <c r="V655">
        <v>20</v>
      </c>
      <c r="W655">
        <v>30</v>
      </c>
      <c r="X655">
        <v>13</v>
      </c>
      <c r="Y655">
        <v>9</v>
      </c>
      <c r="Z655">
        <v>2647</v>
      </c>
      <c r="AA655">
        <v>2334</v>
      </c>
    </row>
    <row r="656" spans="1:27" hidden="1">
      <c r="A656">
        <v>62</v>
      </c>
      <c r="B656">
        <v>1</v>
      </c>
      <c r="C656">
        <v>26.34649403440099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62</v>
      </c>
      <c r="M656">
        <v>768</v>
      </c>
      <c r="N656">
        <v>169</v>
      </c>
      <c r="O656" s="3">
        <v>4.5443786982248522</v>
      </c>
      <c r="P656">
        <v>63</v>
      </c>
      <c r="Q656">
        <v>78.128179043743643</v>
      </c>
      <c r="R656">
        <v>1.2610481907397291</v>
      </c>
      <c r="S656">
        <v>29.956593652543489</v>
      </c>
      <c r="T656">
        <v>8.9064319120134225</v>
      </c>
      <c r="U656">
        <v>7</v>
      </c>
      <c r="V656">
        <v>22</v>
      </c>
      <c r="W656">
        <v>78</v>
      </c>
      <c r="X656">
        <v>46</v>
      </c>
      <c r="Y656">
        <v>15</v>
      </c>
      <c r="Z656">
        <v>3772</v>
      </c>
      <c r="AA656">
        <v>2789</v>
      </c>
    </row>
    <row r="657" spans="1:27">
      <c r="A657">
        <v>51</v>
      </c>
      <c r="B657">
        <v>1</v>
      </c>
      <c r="C657">
        <v>29.000594883997621</v>
      </c>
      <c r="D657">
        <v>0</v>
      </c>
      <c r="E657">
        <v>0</v>
      </c>
      <c r="F657">
        <v>1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65</v>
      </c>
      <c r="M657">
        <v>110</v>
      </c>
      <c r="N657">
        <v>109</v>
      </c>
      <c r="O657" s="3">
        <v>1.0091743119266054</v>
      </c>
      <c r="P657">
        <v>26</v>
      </c>
      <c r="Q657">
        <v>43.478260869565219</v>
      </c>
      <c r="R657">
        <v>0.40130948490607538</v>
      </c>
      <c r="S657">
        <v>31.450515049716639</v>
      </c>
      <c r="T657">
        <v>5.7579776448014721</v>
      </c>
      <c r="U657">
        <v>7</v>
      </c>
      <c r="V657">
        <v>35</v>
      </c>
      <c r="W657">
        <v>68</v>
      </c>
      <c r="X657">
        <v>32</v>
      </c>
      <c r="Y657">
        <v>23</v>
      </c>
      <c r="Z657">
        <v>713</v>
      </c>
      <c r="AA657">
        <v>460</v>
      </c>
    </row>
    <row r="658" spans="1:27" hidden="1">
      <c r="A658">
        <v>56</v>
      </c>
      <c r="B658">
        <v>0</v>
      </c>
      <c r="C658">
        <v>24.840980089578078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  <c r="K658">
        <v>0</v>
      </c>
      <c r="L658">
        <v>69</v>
      </c>
      <c r="M658">
        <v>270</v>
      </c>
      <c r="N658">
        <v>57</v>
      </c>
      <c r="O658" s="3">
        <v>4.7368421052631575</v>
      </c>
      <c r="P658">
        <v>30</v>
      </c>
      <c r="Q658">
        <v>77.58620689655173</v>
      </c>
      <c r="R658">
        <v>0.516990636496793</v>
      </c>
      <c r="S658">
        <v>31.677231458406489</v>
      </c>
      <c r="T658">
        <v>5.7085196525901374</v>
      </c>
      <c r="U658">
        <v>7</v>
      </c>
      <c r="V658">
        <v>27</v>
      </c>
      <c r="W658">
        <v>62</v>
      </c>
      <c r="X658">
        <v>21</v>
      </c>
      <c r="Y658">
        <v>17</v>
      </c>
      <c r="Z658">
        <v>1014</v>
      </c>
      <c r="AA658">
        <v>666</v>
      </c>
    </row>
    <row r="659" spans="1:27" hidden="1">
      <c r="A659">
        <v>63</v>
      </c>
      <c r="B659">
        <v>0</v>
      </c>
      <c r="C659">
        <v>25.63691716071142</v>
      </c>
      <c r="D659">
        <v>0</v>
      </c>
      <c r="E659">
        <v>1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74</v>
      </c>
      <c r="M659">
        <v>811</v>
      </c>
      <c r="N659">
        <v>369</v>
      </c>
      <c r="O659" s="3">
        <v>2.1978319783197833</v>
      </c>
      <c r="P659">
        <v>39</v>
      </c>
      <c r="Q659">
        <v>60.885885885885877</v>
      </c>
      <c r="R659">
        <v>0.42588414148105408</v>
      </c>
      <c r="S659">
        <v>30.13794651139321</v>
      </c>
      <c r="T659">
        <v>8.3992581876861401</v>
      </c>
      <c r="U659">
        <v>8</v>
      </c>
      <c r="V659">
        <v>36</v>
      </c>
      <c r="W659">
        <v>57</v>
      </c>
      <c r="X659">
        <v>36</v>
      </c>
      <c r="Y659">
        <v>28</v>
      </c>
      <c r="Z659">
        <v>1399</v>
      </c>
      <c r="AA659">
        <v>67</v>
      </c>
    </row>
    <row r="660" spans="1:27" hidden="1">
      <c r="A660">
        <v>45</v>
      </c>
      <c r="B660">
        <v>0</v>
      </c>
      <c r="C660">
        <v>22.65625</v>
      </c>
      <c r="D660">
        <v>0</v>
      </c>
      <c r="E660">
        <v>1</v>
      </c>
      <c r="F660">
        <v>0</v>
      </c>
      <c r="G660">
        <v>0</v>
      </c>
      <c r="H660">
        <v>1</v>
      </c>
      <c r="I660">
        <v>0</v>
      </c>
      <c r="J660">
        <v>0</v>
      </c>
      <c r="K660">
        <v>0</v>
      </c>
      <c r="L660">
        <v>90</v>
      </c>
      <c r="M660">
        <v>211</v>
      </c>
      <c r="N660">
        <v>144</v>
      </c>
      <c r="O660" s="3">
        <v>1.4652777777777777</v>
      </c>
      <c r="P660">
        <v>26</v>
      </c>
      <c r="Q660">
        <v>45.474137931034477</v>
      </c>
      <c r="R660">
        <v>0.37881623485920862</v>
      </c>
      <c r="S660">
        <v>30.04504885002174</v>
      </c>
      <c r="T660">
        <v>6.308946721889221</v>
      </c>
      <c r="U660">
        <v>13</v>
      </c>
      <c r="V660">
        <v>12</v>
      </c>
      <c r="W660">
        <v>63</v>
      </c>
      <c r="X660">
        <v>43</v>
      </c>
      <c r="Y660">
        <v>34</v>
      </c>
      <c r="Z660">
        <v>716</v>
      </c>
      <c r="AA660">
        <v>252</v>
      </c>
    </row>
    <row r="661" spans="1:27" hidden="1">
      <c r="A661">
        <v>60</v>
      </c>
      <c r="B661">
        <v>0</v>
      </c>
      <c r="C661">
        <v>20.34279778393352</v>
      </c>
      <c r="D661">
        <v>0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71</v>
      </c>
      <c r="M661">
        <v>215</v>
      </c>
      <c r="N661">
        <v>58</v>
      </c>
      <c r="O661" s="3">
        <v>3.7068965517241379</v>
      </c>
      <c r="P661">
        <v>31</v>
      </c>
      <c r="Q661">
        <v>71.666666666666671</v>
      </c>
      <c r="R661">
        <v>0.76123850502531365</v>
      </c>
      <c r="S661">
        <v>30.930101954295051</v>
      </c>
      <c r="T661">
        <v>6.1015123660056938</v>
      </c>
      <c r="U661">
        <v>7</v>
      </c>
      <c r="V661">
        <v>27</v>
      </c>
      <c r="W661">
        <v>73</v>
      </c>
      <c r="X661">
        <v>7</v>
      </c>
      <c r="Y661">
        <v>2</v>
      </c>
      <c r="Z661">
        <v>1093</v>
      </c>
      <c r="AA661">
        <v>793</v>
      </c>
    </row>
    <row r="662" spans="1:27" hidden="1">
      <c r="A662">
        <v>54</v>
      </c>
      <c r="B662">
        <v>0</v>
      </c>
      <c r="C662">
        <v>21.928862769176789</v>
      </c>
      <c r="D662">
        <v>0</v>
      </c>
      <c r="E662">
        <v>1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78</v>
      </c>
      <c r="M662">
        <v>559</v>
      </c>
      <c r="N662">
        <v>158</v>
      </c>
      <c r="O662" s="3">
        <v>3.537974683544304</v>
      </c>
      <c r="P662">
        <v>30</v>
      </c>
      <c r="Q662">
        <v>76.054421768707485</v>
      </c>
      <c r="R662">
        <v>0.52508733450011624</v>
      </c>
      <c r="S662">
        <v>30.421448368122672</v>
      </c>
      <c r="T662">
        <v>6.9598043241420404</v>
      </c>
      <c r="U662">
        <v>6</v>
      </c>
      <c r="V662">
        <v>24</v>
      </c>
      <c r="W662">
        <v>52</v>
      </c>
      <c r="X662">
        <v>18</v>
      </c>
      <c r="Y662">
        <v>10</v>
      </c>
      <c r="Z662">
        <v>932</v>
      </c>
      <c r="AA662">
        <v>197</v>
      </c>
    </row>
    <row r="663" spans="1:27" hidden="1">
      <c r="A663">
        <v>58</v>
      </c>
      <c r="B663">
        <v>1</v>
      </c>
      <c r="C663">
        <v>24.050878099173559</v>
      </c>
      <c r="D663">
        <v>0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68</v>
      </c>
      <c r="M663">
        <v>341</v>
      </c>
      <c r="N663">
        <v>124</v>
      </c>
      <c r="O663" s="3">
        <v>2.75</v>
      </c>
      <c r="P663">
        <v>34</v>
      </c>
      <c r="Q663">
        <v>70.893970893970888</v>
      </c>
      <c r="R663">
        <v>0.76288374028027595</v>
      </c>
      <c r="S663">
        <v>29.05455104122515</v>
      </c>
      <c r="T663">
        <v>6.1657251890756326</v>
      </c>
      <c r="U663">
        <v>4</v>
      </c>
      <c r="V663">
        <v>6</v>
      </c>
      <c r="W663">
        <v>30</v>
      </c>
      <c r="X663">
        <v>10</v>
      </c>
      <c r="Y663">
        <v>9</v>
      </c>
      <c r="Z663">
        <v>1257</v>
      </c>
      <c r="AA663">
        <v>776</v>
      </c>
    </row>
    <row r="664" spans="1:27" hidden="1">
      <c r="A664">
        <v>55</v>
      </c>
      <c r="B664">
        <v>1</v>
      </c>
      <c r="C664">
        <v>23.18367346938776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81</v>
      </c>
      <c r="M664">
        <v>254</v>
      </c>
      <c r="N664">
        <v>182</v>
      </c>
      <c r="O664" s="3">
        <v>1.3956043956043955</v>
      </c>
      <c r="P664">
        <v>29</v>
      </c>
      <c r="Q664">
        <v>56.570155902004451</v>
      </c>
      <c r="R664">
        <v>0.93693535856066146</v>
      </c>
      <c r="S664">
        <v>31.19694127301408</v>
      </c>
      <c r="T664">
        <v>6.2700838965174226</v>
      </c>
      <c r="U664">
        <v>0</v>
      </c>
      <c r="V664">
        <v>5</v>
      </c>
      <c r="W664">
        <v>53</v>
      </c>
      <c r="X664">
        <v>2</v>
      </c>
      <c r="Y664">
        <v>1</v>
      </c>
      <c r="Z664">
        <v>879</v>
      </c>
      <c r="AA664">
        <v>430</v>
      </c>
    </row>
    <row r="665" spans="1:27" hidden="1">
      <c r="A665">
        <v>54</v>
      </c>
      <c r="B665">
        <v>0</v>
      </c>
      <c r="C665">
        <v>23.42209072978304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99</v>
      </c>
      <c r="M665">
        <v>45</v>
      </c>
      <c r="N665">
        <v>48</v>
      </c>
      <c r="O665" s="3">
        <v>0.9375</v>
      </c>
      <c r="P665">
        <v>12</v>
      </c>
      <c r="Q665">
        <v>42.056074766355138</v>
      </c>
      <c r="R665">
        <v>0.72093336837480537</v>
      </c>
      <c r="S665">
        <v>31.804828616128312</v>
      </c>
      <c r="T665">
        <v>4.4576489510392117</v>
      </c>
      <c r="U665">
        <v>9</v>
      </c>
      <c r="V665">
        <v>22</v>
      </c>
      <c r="W665">
        <v>66</v>
      </c>
      <c r="X665">
        <v>16</v>
      </c>
      <c r="Y665">
        <v>14</v>
      </c>
      <c r="Z665">
        <v>163</v>
      </c>
      <c r="AA665">
        <v>56</v>
      </c>
    </row>
    <row r="666" spans="1:27" hidden="1">
      <c r="A666">
        <v>39</v>
      </c>
      <c r="B666">
        <v>0</v>
      </c>
      <c r="C666">
        <v>23.4375</v>
      </c>
      <c r="D666">
        <v>0</v>
      </c>
      <c r="E666">
        <v>0</v>
      </c>
      <c r="F666">
        <v>0</v>
      </c>
      <c r="G666">
        <v>1</v>
      </c>
      <c r="H666">
        <v>1</v>
      </c>
      <c r="I666">
        <v>0</v>
      </c>
      <c r="J666">
        <v>0</v>
      </c>
      <c r="K666">
        <v>0</v>
      </c>
      <c r="L666">
        <v>70</v>
      </c>
      <c r="M666">
        <v>81</v>
      </c>
      <c r="N666">
        <v>295</v>
      </c>
      <c r="O666" s="3">
        <v>0.27457627118644068</v>
      </c>
      <c r="P666">
        <v>23</v>
      </c>
      <c r="Q666">
        <v>19.9017199017199</v>
      </c>
      <c r="R666">
        <v>0.59268034840437533</v>
      </c>
      <c r="S666">
        <v>29.853023390527351</v>
      </c>
      <c r="T666">
        <v>7.4453990971799584</v>
      </c>
      <c r="U666">
        <v>19</v>
      </c>
      <c r="V666">
        <v>8</v>
      </c>
      <c r="W666">
        <v>46</v>
      </c>
      <c r="X666">
        <v>10</v>
      </c>
      <c r="Y666">
        <v>11</v>
      </c>
      <c r="Z666">
        <v>497</v>
      </c>
      <c r="AA666">
        <v>90</v>
      </c>
    </row>
    <row r="667" spans="1:27">
      <c r="A667">
        <v>59</v>
      </c>
      <c r="B667">
        <v>0</v>
      </c>
      <c r="C667">
        <v>19.879102600511171</v>
      </c>
      <c r="D667">
        <v>0</v>
      </c>
      <c r="E667">
        <v>0</v>
      </c>
      <c r="F667">
        <v>1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68</v>
      </c>
      <c r="M667">
        <v>699</v>
      </c>
      <c r="N667">
        <v>816</v>
      </c>
      <c r="O667" s="3">
        <v>0.85661764705882348</v>
      </c>
      <c r="P667">
        <v>59</v>
      </c>
      <c r="Q667">
        <v>27.05108359133127</v>
      </c>
      <c r="R667">
        <v>0.34782876085577608</v>
      </c>
      <c r="S667">
        <v>27.12476553117407</v>
      </c>
      <c r="T667">
        <v>11.645642521150259</v>
      </c>
      <c r="U667">
        <v>10</v>
      </c>
      <c r="V667">
        <v>7</v>
      </c>
      <c r="W667">
        <v>54</v>
      </c>
      <c r="X667">
        <v>38</v>
      </c>
      <c r="Y667">
        <v>25</v>
      </c>
      <c r="Z667">
        <v>2966</v>
      </c>
      <c r="AA667">
        <v>382</v>
      </c>
    </row>
    <row r="668" spans="1:27" hidden="1">
      <c r="A668">
        <v>47</v>
      </c>
      <c r="B668">
        <v>1</v>
      </c>
      <c r="C668">
        <v>19.591836734693882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62</v>
      </c>
      <c r="M668">
        <v>508</v>
      </c>
      <c r="N668">
        <v>227</v>
      </c>
      <c r="O668" s="3">
        <v>2.2378854625550662</v>
      </c>
      <c r="P668">
        <v>39</v>
      </c>
      <c r="Q668">
        <v>65.803108808290162</v>
      </c>
      <c r="R668">
        <v>0.68785739678048063</v>
      </c>
      <c r="S668">
        <v>27.670091742952021</v>
      </c>
      <c r="T668">
        <v>7.7071182829190379</v>
      </c>
      <c r="U668">
        <v>3</v>
      </c>
      <c r="V668">
        <v>11</v>
      </c>
      <c r="W668">
        <v>51</v>
      </c>
      <c r="X668">
        <v>4</v>
      </c>
      <c r="Y668">
        <v>2</v>
      </c>
      <c r="Z668">
        <v>1521</v>
      </c>
      <c r="AA668">
        <v>749</v>
      </c>
    </row>
    <row r="669" spans="1:27">
      <c r="A669">
        <v>42</v>
      </c>
      <c r="B669">
        <v>1</v>
      </c>
      <c r="C669">
        <v>24.913494809688579</v>
      </c>
      <c r="D669">
        <v>0</v>
      </c>
      <c r="E669">
        <v>1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86</v>
      </c>
      <c r="M669">
        <v>199</v>
      </c>
      <c r="N669">
        <v>36</v>
      </c>
      <c r="O669" s="3">
        <v>5.5277777777777777</v>
      </c>
      <c r="P669">
        <v>18</v>
      </c>
      <c r="Q669">
        <v>79.282868525896419</v>
      </c>
      <c r="R669">
        <v>0.92064004144221767</v>
      </c>
      <c r="S669">
        <v>30.86864002417866</v>
      </c>
      <c r="T669">
        <v>6.1628501551226558</v>
      </c>
      <c r="U669">
        <v>16</v>
      </c>
      <c r="V669">
        <v>33</v>
      </c>
      <c r="W669">
        <v>53</v>
      </c>
      <c r="X669">
        <v>27</v>
      </c>
      <c r="Y669">
        <v>32</v>
      </c>
      <c r="Z669">
        <v>387</v>
      </c>
      <c r="AA669">
        <v>136</v>
      </c>
    </row>
    <row r="670" spans="1:27" hidden="1">
      <c r="A670">
        <v>42</v>
      </c>
      <c r="B670">
        <v>0</v>
      </c>
      <c r="C670">
        <v>24.508945765204299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76</v>
      </c>
      <c r="M670">
        <v>178</v>
      </c>
      <c r="N670">
        <v>576</v>
      </c>
      <c r="O670" s="8">
        <f>L670/M670</f>
        <v>0.42696629213483145</v>
      </c>
      <c r="P670">
        <v>37</v>
      </c>
      <c r="Q670">
        <v>21.97530864197531</v>
      </c>
      <c r="R670">
        <v>1.049062123840182</v>
      </c>
      <c r="S670">
        <v>29.337882581182519</v>
      </c>
      <c r="T670">
        <v>9.290850739572031</v>
      </c>
      <c r="U670">
        <v>0</v>
      </c>
      <c r="V670">
        <v>15</v>
      </c>
      <c r="W670">
        <v>52</v>
      </c>
      <c r="X670">
        <v>0</v>
      </c>
      <c r="Y670">
        <v>2</v>
      </c>
      <c r="Z670">
        <v>1339</v>
      </c>
      <c r="AA670">
        <v>529</v>
      </c>
    </row>
    <row r="671" spans="1:27" hidden="1">
      <c r="A671">
        <v>43</v>
      </c>
      <c r="B671">
        <v>0</v>
      </c>
      <c r="C671">
        <v>19.835146223041889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77</v>
      </c>
      <c r="M671">
        <v>232</v>
      </c>
      <c r="N671">
        <v>98</v>
      </c>
      <c r="O671" s="3">
        <v>2.3673469387755102</v>
      </c>
      <c r="P671">
        <v>26</v>
      </c>
      <c r="Q671">
        <v>62.702702702702702</v>
      </c>
      <c r="R671">
        <v>0.93156372968806012</v>
      </c>
      <c r="S671">
        <v>30.127820689739419</v>
      </c>
      <c r="T671">
        <v>6.6279907860311127</v>
      </c>
      <c r="U671">
        <v>3</v>
      </c>
      <c r="V671">
        <v>6</v>
      </c>
      <c r="W671">
        <v>60</v>
      </c>
      <c r="X671">
        <v>1</v>
      </c>
      <c r="Y671">
        <v>2</v>
      </c>
      <c r="Z671">
        <v>698</v>
      </c>
      <c r="AA671">
        <v>328</v>
      </c>
    </row>
    <row r="672" spans="1:27" hidden="1">
      <c r="A672">
        <v>33</v>
      </c>
      <c r="B672">
        <v>1</v>
      </c>
      <c r="C672">
        <v>25.826446280991739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83</v>
      </c>
      <c r="M672">
        <v>241</v>
      </c>
      <c r="N672">
        <v>66</v>
      </c>
      <c r="O672" s="3">
        <v>3.6515151515151514</v>
      </c>
      <c r="P672">
        <v>26</v>
      </c>
      <c r="Q672">
        <v>74.61300309597523</v>
      </c>
      <c r="R672">
        <v>0.76542039130565886</v>
      </c>
      <c r="S672">
        <v>31.06888107335546</v>
      </c>
      <c r="T672">
        <v>6.4681790556614009</v>
      </c>
      <c r="U672">
        <v>4</v>
      </c>
      <c r="V672">
        <v>9</v>
      </c>
      <c r="W672">
        <v>51</v>
      </c>
      <c r="X672">
        <v>9</v>
      </c>
      <c r="Y672">
        <v>8</v>
      </c>
      <c r="Z672">
        <v>783</v>
      </c>
      <c r="AA672">
        <v>460</v>
      </c>
    </row>
    <row r="673" spans="1:27" hidden="1">
      <c r="A673">
        <v>31</v>
      </c>
      <c r="B673">
        <v>0</v>
      </c>
      <c r="C673">
        <v>17.898022892819981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68</v>
      </c>
      <c r="M673">
        <v>622</v>
      </c>
      <c r="N673">
        <v>1083</v>
      </c>
      <c r="O673" s="3">
        <v>0.5743305632502308</v>
      </c>
      <c r="P673">
        <v>72</v>
      </c>
      <c r="Q673">
        <v>25.12116316639742</v>
      </c>
      <c r="R673">
        <v>0.53377885772526168</v>
      </c>
      <c r="S673">
        <v>29.62904105651517</v>
      </c>
      <c r="T673">
        <v>11.88728949237049</v>
      </c>
      <c r="U673">
        <v>12</v>
      </c>
      <c r="V673">
        <v>22</v>
      </c>
      <c r="W673">
        <v>63</v>
      </c>
      <c r="X673">
        <v>14</v>
      </c>
      <c r="Y673">
        <v>14</v>
      </c>
      <c r="Z673">
        <v>4266</v>
      </c>
      <c r="AA673">
        <v>1790</v>
      </c>
    </row>
    <row r="674" spans="1:27" hidden="1">
      <c r="A674">
        <v>21</v>
      </c>
      <c r="B674">
        <v>1</v>
      </c>
      <c r="C674">
        <v>18.591130340724721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71</v>
      </c>
      <c r="M674">
        <v>506</v>
      </c>
      <c r="N674">
        <v>224</v>
      </c>
      <c r="O674" s="3">
        <v>2.2589285714285716</v>
      </c>
      <c r="P674">
        <v>37</v>
      </c>
      <c r="Q674">
        <v>64.705882352941174</v>
      </c>
      <c r="R674">
        <v>1.082438705913553</v>
      </c>
      <c r="S674">
        <v>29.010261188330311</v>
      </c>
      <c r="T674">
        <v>9.1321038881107999</v>
      </c>
      <c r="U674">
        <v>3</v>
      </c>
      <c r="V674">
        <v>10</v>
      </c>
      <c r="W674">
        <v>53</v>
      </c>
      <c r="X674">
        <v>2</v>
      </c>
      <c r="Y674">
        <v>1</v>
      </c>
      <c r="Z674">
        <v>1433</v>
      </c>
      <c r="AA674">
        <v>651</v>
      </c>
    </row>
    <row r="675" spans="1:27" hidden="1">
      <c r="A675">
        <v>21</v>
      </c>
      <c r="B675">
        <v>0</v>
      </c>
      <c r="C675">
        <v>19.289379267775161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66</v>
      </c>
      <c r="M675">
        <v>697</v>
      </c>
      <c r="N675">
        <v>482</v>
      </c>
      <c r="O675" s="3">
        <v>1.446058091286307</v>
      </c>
      <c r="P675">
        <v>51</v>
      </c>
      <c r="Q675">
        <v>56.11916264090177</v>
      </c>
      <c r="R675">
        <v>0.82207094198858388</v>
      </c>
      <c r="S675">
        <v>29.610570941111892</v>
      </c>
      <c r="T675">
        <v>12.47261701941294</v>
      </c>
      <c r="U675">
        <v>2</v>
      </c>
      <c r="V675">
        <v>8</v>
      </c>
      <c r="W675">
        <v>52</v>
      </c>
      <c r="X675">
        <v>9</v>
      </c>
      <c r="Y675">
        <v>4</v>
      </c>
      <c r="Z675">
        <v>2633</v>
      </c>
      <c r="AA675">
        <v>1391</v>
      </c>
    </row>
    <row r="676" spans="1:27" hidden="1">
      <c r="A676">
        <v>48</v>
      </c>
      <c r="B676">
        <v>0</v>
      </c>
      <c r="C676">
        <v>24.776795249690291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71</v>
      </c>
      <c r="M676">
        <v>484</v>
      </c>
      <c r="N676">
        <v>241</v>
      </c>
      <c r="O676" s="3">
        <v>2.008298755186722</v>
      </c>
      <c r="P676">
        <v>52</v>
      </c>
      <c r="Q676">
        <v>50.416666666666657</v>
      </c>
      <c r="R676">
        <v>0.95453530664292174</v>
      </c>
      <c r="S676">
        <v>31.097478826820989</v>
      </c>
      <c r="T676">
        <v>9.5110307045205094</v>
      </c>
      <c r="U676">
        <v>2</v>
      </c>
      <c r="V676">
        <v>20</v>
      </c>
      <c r="W676">
        <v>61</v>
      </c>
      <c r="X676">
        <v>2</v>
      </c>
      <c r="Y676">
        <v>3</v>
      </c>
      <c r="Z676">
        <v>2739</v>
      </c>
      <c r="AA676">
        <v>1779</v>
      </c>
    </row>
    <row r="677" spans="1:27" hidden="1">
      <c r="A677">
        <v>44</v>
      </c>
      <c r="B677">
        <v>1</v>
      </c>
      <c r="C677">
        <v>45.440876741621842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88</v>
      </c>
      <c r="M677">
        <v>68</v>
      </c>
      <c r="N677">
        <v>25</v>
      </c>
      <c r="O677" s="3">
        <v>2.72</v>
      </c>
      <c r="P677">
        <v>23</v>
      </c>
      <c r="Q677">
        <v>68.686868686868692</v>
      </c>
      <c r="R677">
        <v>1.989371112841487</v>
      </c>
      <c r="S677">
        <v>31.246290946102519</v>
      </c>
      <c r="T677">
        <v>5.5812685943079909</v>
      </c>
      <c r="U677">
        <v>16</v>
      </c>
      <c r="V677">
        <v>51</v>
      </c>
      <c r="W677">
        <v>56</v>
      </c>
      <c r="X677">
        <v>40</v>
      </c>
      <c r="Y677">
        <v>31</v>
      </c>
      <c r="Z677">
        <v>591</v>
      </c>
      <c r="AA677">
        <v>492</v>
      </c>
    </row>
    <row r="678" spans="1:27" hidden="1">
      <c r="A678">
        <v>43</v>
      </c>
      <c r="B678">
        <v>0</v>
      </c>
      <c r="C678">
        <v>23.733238400379729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70</v>
      </c>
      <c r="M678">
        <v>145</v>
      </c>
      <c r="N678">
        <v>299</v>
      </c>
      <c r="O678" s="3">
        <v>0.48494983277591974</v>
      </c>
      <c r="P678">
        <v>34</v>
      </c>
      <c r="Q678">
        <v>29.116465863453811</v>
      </c>
      <c r="R678">
        <v>0.9910428306962874</v>
      </c>
      <c r="S678">
        <v>30.104222043638391</v>
      </c>
      <c r="T678">
        <v>7.8628171463473064</v>
      </c>
      <c r="U678">
        <v>7</v>
      </c>
      <c r="V678">
        <v>18</v>
      </c>
      <c r="W678">
        <v>46</v>
      </c>
      <c r="X678">
        <v>3</v>
      </c>
      <c r="Y678">
        <v>5</v>
      </c>
      <c r="Z678">
        <v>1305</v>
      </c>
      <c r="AA678">
        <v>807</v>
      </c>
    </row>
    <row r="679" spans="1:27" hidden="1">
      <c r="A679">
        <v>45</v>
      </c>
      <c r="B679">
        <v>1</v>
      </c>
      <c r="C679">
        <v>21.777553339224841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61</v>
      </c>
      <c r="M679">
        <v>505</v>
      </c>
      <c r="N679">
        <v>463</v>
      </c>
      <c r="O679" s="3">
        <v>1.0907127429805616</v>
      </c>
      <c r="P679">
        <v>45</v>
      </c>
      <c r="Q679">
        <v>49.704724409448822</v>
      </c>
      <c r="R679">
        <v>1.20282575123555</v>
      </c>
      <c r="S679">
        <v>27.791731137069021</v>
      </c>
      <c r="T679">
        <v>9.8192430328538727</v>
      </c>
      <c r="U679">
        <v>0</v>
      </c>
      <c r="V679">
        <v>10</v>
      </c>
      <c r="W679">
        <v>61</v>
      </c>
      <c r="X679">
        <v>3</v>
      </c>
      <c r="Y679">
        <v>0</v>
      </c>
      <c r="Z679">
        <v>2011</v>
      </c>
      <c r="AA679">
        <v>995</v>
      </c>
    </row>
    <row r="680" spans="1:27" hidden="1">
      <c r="A680">
        <v>48</v>
      </c>
      <c r="B680">
        <v>0</v>
      </c>
      <c r="C680">
        <v>26.953125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77</v>
      </c>
      <c r="M680">
        <v>74</v>
      </c>
      <c r="N680">
        <v>65</v>
      </c>
      <c r="O680" s="3">
        <v>1.1384615384615384</v>
      </c>
      <c r="P680">
        <v>23</v>
      </c>
      <c r="Q680">
        <v>48.366013071895424</v>
      </c>
      <c r="R680">
        <v>0.98787149274065722</v>
      </c>
      <c r="S680">
        <v>31.590372607379042</v>
      </c>
      <c r="T680">
        <v>5.5627499395700841</v>
      </c>
      <c r="U680">
        <v>1</v>
      </c>
      <c r="V680">
        <v>5</v>
      </c>
      <c r="W680">
        <v>42</v>
      </c>
      <c r="X680">
        <v>1</v>
      </c>
      <c r="Y680">
        <v>0</v>
      </c>
      <c r="Z680">
        <v>557</v>
      </c>
      <c r="AA680">
        <v>404</v>
      </c>
    </row>
    <row r="681" spans="1:27" hidden="1">
      <c r="A681">
        <v>43</v>
      </c>
      <c r="B681">
        <v>0</v>
      </c>
      <c r="C681">
        <v>23.068050749711649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74</v>
      </c>
      <c r="M681">
        <v>535</v>
      </c>
      <c r="N681">
        <v>540</v>
      </c>
      <c r="O681" s="3">
        <v>0.9907407407407407</v>
      </c>
      <c r="P681">
        <v>40</v>
      </c>
      <c r="Q681">
        <v>47.682709447415327</v>
      </c>
      <c r="R681">
        <v>0.48930289982547209</v>
      </c>
      <c r="S681">
        <v>29.639333480725551</v>
      </c>
      <c r="T681">
        <v>10.47976748905155</v>
      </c>
      <c r="U681">
        <v>2</v>
      </c>
      <c r="V681">
        <v>11</v>
      </c>
      <c r="W681">
        <v>57</v>
      </c>
      <c r="X681">
        <v>4</v>
      </c>
      <c r="Y681">
        <v>0</v>
      </c>
      <c r="Z681">
        <v>1629</v>
      </c>
      <c r="AA681">
        <v>507</v>
      </c>
    </row>
    <row r="682" spans="1:27" hidden="1">
      <c r="A682">
        <v>41</v>
      </c>
      <c r="B682">
        <v>0</v>
      </c>
      <c r="C682">
        <v>19.97918834547346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91</v>
      </c>
      <c r="M682">
        <v>133</v>
      </c>
      <c r="N682">
        <v>203</v>
      </c>
      <c r="O682" s="3">
        <v>0.65517241379310343</v>
      </c>
      <c r="P682">
        <v>28</v>
      </c>
      <c r="Q682">
        <v>34.102564102564102</v>
      </c>
      <c r="R682">
        <v>0.54169871476564324</v>
      </c>
      <c r="S682">
        <v>29.61520265743426</v>
      </c>
      <c r="T682">
        <v>7.7115444266894224</v>
      </c>
      <c r="U682">
        <v>8</v>
      </c>
      <c r="V682">
        <v>11</v>
      </c>
      <c r="W682">
        <v>50</v>
      </c>
      <c r="X682">
        <v>9</v>
      </c>
      <c r="Y682">
        <v>3</v>
      </c>
      <c r="Z682">
        <v>838</v>
      </c>
      <c r="AA682">
        <v>448</v>
      </c>
    </row>
    <row r="683" spans="1:27" hidden="1">
      <c r="A683">
        <v>33</v>
      </c>
      <c r="B683">
        <v>0</v>
      </c>
      <c r="C683">
        <v>17.258382642998029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60</v>
      </c>
      <c r="M683">
        <v>1023</v>
      </c>
      <c r="N683">
        <v>1632</v>
      </c>
      <c r="O683" s="3">
        <v>0.62683823529411764</v>
      </c>
      <c r="P683">
        <v>76</v>
      </c>
      <c r="Q683">
        <v>35.166723960123747</v>
      </c>
      <c r="R683">
        <v>1.786542911362037</v>
      </c>
      <c r="S683">
        <v>28.75660066928959</v>
      </c>
      <c r="T683">
        <v>11.62252310568087</v>
      </c>
      <c r="U683">
        <v>2</v>
      </c>
      <c r="V683">
        <v>10</v>
      </c>
      <c r="W683">
        <v>65</v>
      </c>
      <c r="X683">
        <v>0</v>
      </c>
      <c r="Y683">
        <v>0</v>
      </c>
      <c r="Z683">
        <v>5124</v>
      </c>
      <c r="AA683">
        <v>2215</v>
      </c>
    </row>
    <row r="684" spans="1:27" hidden="1">
      <c r="A684">
        <v>32</v>
      </c>
      <c r="B684">
        <v>0</v>
      </c>
      <c r="C684">
        <v>17.959922764941201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77</v>
      </c>
      <c r="M684">
        <v>1629</v>
      </c>
      <c r="N684">
        <v>474</v>
      </c>
      <c r="O684" s="3">
        <v>3.4367088607594938</v>
      </c>
      <c r="P684">
        <v>62</v>
      </c>
      <c r="Q684">
        <v>71.952296819787989</v>
      </c>
      <c r="R684">
        <v>1.4374791333136001</v>
      </c>
      <c r="S684">
        <v>29.312910197679521</v>
      </c>
      <c r="T684">
        <v>13.646073859649119</v>
      </c>
      <c r="U684">
        <v>0</v>
      </c>
      <c r="V684">
        <v>5</v>
      </c>
      <c r="W684">
        <v>47</v>
      </c>
      <c r="X684">
        <v>12</v>
      </c>
      <c r="Y684">
        <v>1</v>
      </c>
      <c r="Z684">
        <v>3737</v>
      </c>
      <c r="AA684">
        <v>1473</v>
      </c>
    </row>
    <row r="685" spans="1:27" hidden="1">
      <c r="A685">
        <v>42</v>
      </c>
      <c r="B685">
        <v>0</v>
      </c>
      <c r="C685">
        <v>23.588329220496441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72</v>
      </c>
      <c r="M685">
        <v>415</v>
      </c>
      <c r="N685">
        <v>256</v>
      </c>
      <c r="O685" s="3">
        <v>1.62109375</v>
      </c>
      <c r="P685">
        <v>39</v>
      </c>
      <c r="Q685">
        <v>57.960893854748598</v>
      </c>
      <c r="R685">
        <v>0.43164155738588877</v>
      </c>
      <c r="S685">
        <v>30.26181956743757</v>
      </c>
      <c r="T685">
        <v>8.4773339158637366</v>
      </c>
      <c r="U685">
        <v>5</v>
      </c>
      <c r="V685">
        <v>18</v>
      </c>
      <c r="W685">
        <v>53</v>
      </c>
      <c r="X685">
        <v>9</v>
      </c>
      <c r="Y685">
        <v>3</v>
      </c>
      <c r="Z685">
        <v>1531</v>
      </c>
      <c r="AA685">
        <v>815</v>
      </c>
    </row>
    <row r="686" spans="1:27" hidden="1">
      <c r="A686">
        <v>35</v>
      </c>
      <c r="B686">
        <v>0</v>
      </c>
      <c r="C686">
        <v>23.423557406305779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67</v>
      </c>
      <c r="M686">
        <v>1905</v>
      </c>
      <c r="N686">
        <v>1225</v>
      </c>
      <c r="O686" s="3">
        <v>1.5551020408163265</v>
      </c>
      <c r="P686">
        <v>90</v>
      </c>
      <c r="Q686">
        <v>54.772857964347317</v>
      </c>
      <c r="R686">
        <v>0.98908039329212383</v>
      </c>
      <c r="S686">
        <v>27.916520487847219</v>
      </c>
      <c r="T686">
        <v>15.67583256094782</v>
      </c>
      <c r="U686">
        <v>5</v>
      </c>
      <c r="V686">
        <v>11</v>
      </c>
      <c r="W686">
        <v>43</v>
      </c>
      <c r="X686">
        <v>2</v>
      </c>
      <c r="Y686">
        <v>3</v>
      </c>
      <c r="Z686">
        <v>7387</v>
      </c>
      <c r="AA686">
        <v>3909</v>
      </c>
    </row>
    <row r="687" spans="1:27" hidden="1">
      <c r="A687">
        <v>38</v>
      </c>
      <c r="B687">
        <v>0</v>
      </c>
      <c r="C687">
        <v>24.121749046094472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83</v>
      </c>
      <c r="M687">
        <v>1299</v>
      </c>
      <c r="N687">
        <v>422</v>
      </c>
      <c r="O687" s="3">
        <v>3.0781990521327014</v>
      </c>
      <c r="P687">
        <v>57</v>
      </c>
      <c r="Q687">
        <v>70.102536427415004</v>
      </c>
      <c r="R687">
        <v>1.207274008</v>
      </c>
      <c r="S687">
        <v>30.215030475415041</v>
      </c>
      <c r="T687">
        <v>12.97859296241262</v>
      </c>
      <c r="U687">
        <v>3</v>
      </c>
      <c r="V687">
        <v>14</v>
      </c>
      <c r="W687">
        <v>57</v>
      </c>
      <c r="X687">
        <v>4</v>
      </c>
      <c r="Y687">
        <v>1</v>
      </c>
      <c r="Z687">
        <v>3093</v>
      </c>
      <c r="AA687">
        <v>1240</v>
      </c>
    </row>
    <row r="688" spans="1:27" hidden="1">
      <c r="A688">
        <v>35</v>
      </c>
      <c r="B688">
        <v>0</v>
      </c>
      <c r="C688">
        <v>31.249999999999989</v>
      </c>
      <c r="D688">
        <v>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79</v>
      </c>
      <c r="M688">
        <v>143</v>
      </c>
      <c r="N688">
        <v>114</v>
      </c>
      <c r="O688" s="3">
        <v>1.2543859649122806</v>
      </c>
      <c r="P688">
        <v>21</v>
      </c>
      <c r="Q688">
        <v>50</v>
      </c>
      <c r="R688">
        <v>1.0057307009634691</v>
      </c>
      <c r="S688">
        <v>31.623951370598359</v>
      </c>
      <c r="T688">
        <v>6.4737785556110534</v>
      </c>
      <c r="U688">
        <v>2</v>
      </c>
      <c r="V688">
        <v>11</v>
      </c>
      <c r="W688">
        <v>43</v>
      </c>
      <c r="X688">
        <v>2</v>
      </c>
      <c r="Y688">
        <v>1</v>
      </c>
      <c r="Z688">
        <v>459</v>
      </c>
      <c r="AA688">
        <v>173</v>
      </c>
    </row>
    <row r="689" spans="1:27" hidden="1">
      <c r="A689">
        <v>36</v>
      </c>
      <c r="B689">
        <v>0</v>
      </c>
      <c r="C689">
        <v>22.582709172343709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74</v>
      </c>
      <c r="M689">
        <v>174</v>
      </c>
      <c r="N689">
        <v>224</v>
      </c>
      <c r="O689" s="3">
        <v>0.7767857142857143</v>
      </c>
      <c r="P689">
        <v>36</v>
      </c>
      <c r="Q689">
        <v>36.554621848739487</v>
      </c>
      <c r="R689">
        <v>0.5361627104883383</v>
      </c>
      <c r="S689">
        <v>30.030521815335781</v>
      </c>
      <c r="T689">
        <v>7.6259522791013978</v>
      </c>
      <c r="U689">
        <v>5</v>
      </c>
      <c r="V689">
        <v>10</v>
      </c>
      <c r="W689">
        <v>43</v>
      </c>
      <c r="X689">
        <v>4</v>
      </c>
      <c r="Y689">
        <v>0</v>
      </c>
      <c r="Z689">
        <v>1231</v>
      </c>
      <c r="AA689">
        <v>755</v>
      </c>
    </row>
    <row r="690" spans="1:27" hidden="1">
      <c r="A690">
        <v>41</v>
      </c>
      <c r="B690">
        <v>0</v>
      </c>
      <c r="C690">
        <v>18.61149584487535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73</v>
      </c>
      <c r="M690">
        <v>140</v>
      </c>
      <c r="N690">
        <v>172</v>
      </c>
      <c r="O690" s="3">
        <v>0.81395348837209303</v>
      </c>
      <c r="P690">
        <v>32</v>
      </c>
      <c r="Q690">
        <v>39.106145251396647</v>
      </c>
      <c r="R690">
        <v>1.0342658926293851</v>
      </c>
      <c r="S690">
        <v>29.756723728551879</v>
      </c>
      <c r="T690">
        <v>7.150381851073762</v>
      </c>
      <c r="U690">
        <v>0</v>
      </c>
      <c r="V690">
        <v>8</v>
      </c>
      <c r="W690">
        <v>41</v>
      </c>
      <c r="X690">
        <v>0</v>
      </c>
      <c r="Y690">
        <v>0</v>
      </c>
      <c r="Z690">
        <v>980</v>
      </c>
      <c r="AA690">
        <v>622</v>
      </c>
    </row>
    <row r="691" spans="1:27" hidden="1">
      <c r="A691">
        <v>64</v>
      </c>
      <c r="B691">
        <v>0</v>
      </c>
      <c r="C691">
        <v>30.297783933518009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94</v>
      </c>
      <c r="M691">
        <v>134</v>
      </c>
      <c r="N691">
        <v>10</v>
      </c>
      <c r="O691" s="3">
        <v>13.4</v>
      </c>
      <c r="P691">
        <v>16</v>
      </c>
      <c r="Q691">
        <v>90.540540540540547</v>
      </c>
      <c r="R691">
        <v>1.0864427603218769</v>
      </c>
      <c r="S691">
        <v>31.511000633797899</v>
      </c>
      <c r="T691">
        <v>5.6226705916305919</v>
      </c>
      <c r="U691">
        <v>5</v>
      </c>
      <c r="V691">
        <v>35</v>
      </c>
      <c r="W691">
        <v>68</v>
      </c>
      <c r="X691">
        <v>11</v>
      </c>
      <c r="Y691">
        <v>5</v>
      </c>
      <c r="Z691">
        <v>276</v>
      </c>
      <c r="AA691">
        <v>128</v>
      </c>
    </row>
    <row r="692" spans="1:27" hidden="1">
      <c r="A692">
        <v>65</v>
      </c>
      <c r="B692">
        <v>1</v>
      </c>
      <c r="C692">
        <v>22.471208763771418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71</v>
      </c>
      <c r="M692">
        <v>102</v>
      </c>
      <c r="N692">
        <v>154</v>
      </c>
      <c r="O692" s="3">
        <v>0.66233766233766234</v>
      </c>
      <c r="P692">
        <v>27</v>
      </c>
      <c r="Q692">
        <v>34.45945945945946</v>
      </c>
      <c r="R692">
        <v>0.36704454077436233</v>
      </c>
      <c r="S692">
        <v>31.248027639102801</v>
      </c>
      <c r="T692">
        <v>5.6292675975685551</v>
      </c>
      <c r="U692">
        <v>4</v>
      </c>
      <c r="V692">
        <v>11</v>
      </c>
      <c r="W692">
        <v>74</v>
      </c>
      <c r="X692">
        <v>14</v>
      </c>
      <c r="Y692">
        <v>2</v>
      </c>
      <c r="Z692">
        <v>753</v>
      </c>
      <c r="AA692">
        <v>457</v>
      </c>
    </row>
    <row r="693" spans="1:27" hidden="1">
      <c r="A693">
        <v>40</v>
      </c>
      <c r="B693">
        <v>0</v>
      </c>
      <c r="C693">
        <v>24.11150746465847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79</v>
      </c>
      <c r="M693">
        <v>501</v>
      </c>
      <c r="N693">
        <v>210</v>
      </c>
      <c r="O693" s="3">
        <v>2.3857142857142857</v>
      </c>
      <c r="P693">
        <v>35</v>
      </c>
      <c r="Q693">
        <v>67.520215633423177</v>
      </c>
      <c r="R693">
        <v>1.1328889124169299</v>
      </c>
      <c r="S693">
        <v>29.891206318710861</v>
      </c>
      <c r="T693">
        <v>8.8440632190817627</v>
      </c>
      <c r="U693">
        <v>0</v>
      </c>
      <c r="V693">
        <v>12</v>
      </c>
      <c r="W693">
        <v>42</v>
      </c>
      <c r="X693">
        <v>2</v>
      </c>
      <c r="Y693">
        <v>0</v>
      </c>
      <c r="Z693">
        <v>1381</v>
      </c>
      <c r="AA693">
        <v>639</v>
      </c>
    </row>
    <row r="694" spans="1:27" hidden="1">
      <c r="A694">
        <v>49</v>
      </c>
      <c r="B694">
        <v>1</v>
      </c>
      <c r="C694">
        <v>26.989619377162629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62</v>
      </c>
      <c r="M694">
        <v>640</v>
      </c>
      <c r="N694">
        <v>182</v>
      </c>
      <c r="O694" s="3">
        <v>3.5164835164835164</v>
      </c>
      <c r="P694">
        <v>58</v>
      </c>
      <c r="Q694">
        <v>73.478760045924219</v>
      </c>
      <c r="R694">
        <v>1.7988909090909091</v>
      </c>
      <c r="S694">
        <v>29.08486047868837</v>
      </c>
      <c r="T694">
        <v>10.247717858056371</v>
      </c>
      <c r="U694">
        <v>2</v>
      </c>
      <c r="V694">
        <v>6</v>
      </c>
      <c r="W694">
        <v>30</v>
      </c>
      <c r="X694">
        <v>0</v>
      </c>
      <c r="Y694">
        <v>1</v>
      </c>
      <c r="Z694">
        <v>3165</v>
      </c>
      <c r="AA694">
        <v>2294</v>
      </c>
    </row>
    <row r="695" spans="1:27" hidden="1">
      <c r="A695">
        <v>48</v>
      </c>
      <c r="B695">
        <v>0</v>
      </c>
      <c r="C695">
        <v>24.43518666880307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70</v>
      </c>
      <c r="M695">
        <v>201</v>
      </c>
      <c r="N695">
        <v>312</v>
      </c>
      <c r="O695" s="3">
        <v>0.64423076923076927</v>
      </c>
      <c r="P695">
        <v>36</v>
      </c>
      <c r="Q695">
        <v>31.018518518518519</v>
      </c>
      <c r="R695">
        <v>0.42343449395413002</v>
      </c>
      <c r="S695">
        <v>31.041768830310101</v>
      </c>
      <c r="T695">
        <v>7.3253981581645462</v>
      </c>
      <c r="U695">
        <v>6</v>
      </c>
      <c r="V695">
        <v>38</v>
      </c>
      <c r="W695">
        <v>64</v>
      </c>
      <c r="X695">
        <v>7</v>
      </c>
      <c r="Y695">
        <v>5</v>
      </c>
      <c r="Z695">
        <v>1200</v>
      </c>
      <c r="AA695">
        <v>552</v>
      </c>
    </row>
    <row r="696" spans="1:27" hidden="1">
      <c r="A696">
        <v>32</v>
      </c>
      <c r="B696">
        <v>0</v>
      </c>
      <c r="C696">
        <v>21.457268078889701</v>
      </c>
      <c r="D696">
        <v>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81</v>
      </c>
      <c r="M696">
        <v>493</v>
      </c>
      <c r="N696">
        <v>199</v>
      </c>
      <c r="O696" s="3">
        <v>2.4773869346733668</v>
      </c>
      <c r="P696">
        <v>48</v>
      </c>
      <c r="Q696">
        <v>67.074829931972786</v>
      </c>
      <c r="R696">
        <v>0.95232326147085244</v>
      </c>
      <c r="S696">
        <v>29.53165034801366</v>
      </c>
      <c r="T696">
        <v>10.9415729411886</v>
      </c>
      <c r="U696">
        <v>5</v>
      </c>
      <c r="V696">
        <v>5</v>
      </c>
      <c r="W696">
        <v>47</v>
      </c>
      <c r="X696">
        <v>3</v>
      </c>
      <c r="Y696">
        <v>2</v>
      </c>
      <c r="Z696">
        <v>2262</v>
      </c>
      <c r="AA696">
        <v>1527</v>
      </c>
    </row>
    <row r="697" spans="1:27" hidden="1">
      <c r="A697">
        <v>40</v>
      </c>
      <c r="B697">
        <v>0</v>
      </c>
      <c r="C697">
        <v>24.005486968449929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68</v>
      </c>
      <c r="M697">
        <v>774</v>
      </c>
      <c r="N697">
        <v>225</v>
      </c>
      <c r="O697" s="3">
        <v>3.44</v>
      </c>
      <c r="P697">
        <v>53</v>
      </c>
      <c r="Q697">
        <v>71.600370027752078</v>
      </c>
      <c r="R697">
        <v>0.84281481696830074</v>
      </c>
      <c r="S697">
        <v>30.327949595326132</v>
      </c>
      <c r="T697">
        <v>9.9361855915076518</v>
      </c>
      <c r="U697">
        <v>7</v>
      </c>
      <c r="V697">
        <v>12</v>
      </c>
      <c r="W697">
        <v>24</v>
      </c>
      <c r="X697">
        <v>4</v>
      </c>
      <c r="Y697">
        <v>5</v>
      </c>
      <c r="Z697">
        <v>2848</v>
      </c>
      <c r="AA697">
        <v>1767</v>
      </c>
    </row>
    <row r="698" spans="1:27" hidden="1">
      <c r="A698">
        <v>43</v>
      </c>
      <c r="B698">
        <v>1</v>
      </c>
      <c r="C698">
        <v>26.892323138154829</v>
      </c>
      <c r="D698">
        <v>0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60</v>
      </c>
      <c r="M698">
        <v>283</v>
      </c>
      <c r="N698">
        <v>322</v>
      </c>
      <c r="O698" s="3">
        <v>0.8788819875776398</v>
      </c>
      <c r="P698">
        <v>47</v>
      </c>
      <c r="Q698">
        <v>44.0809968847352</v>
      </c>
      <c r="R698">
        <v>1.0001169972135071</v>
      </c>
      <c r="S698">
        <v>29.759959130861379</v>
      </c>
      <c r="T698">
        <v>8.6343514166018931</v>
      </c>
      <c r="U698">
        <v>3</v>
      </c>
      <c r="V698">
        <v>41</v>
      </c>
      <c r="W698">
        <v>51</v>
      </c>
      <c r="X698">
        <v>20</v>
      </c>
      <c r="Y698">
        <v>9</v>
      </c>
      <c r="Z698">
        <v>2140</v>
      </c>
      <c r="AA698">
        <v>1498</v>
      </c>
    </row>
    <row r="699" spans="1:27" hidden="1">
      <c r="A699">
        <v>60</v>
      </c>
      <c r="B699">
        <v>0</v>
      </c>
      <c r="C699">
        <v>23.309053069719042</v>
      </c>
      <c r="D699">
        <v>0</v>
      </c>
      <c r="E699">
        <v>1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64</v>
      </c>
      <c r="M699">
        <v>215</v>
      </c>
      <c r="N699">
        <v>135</v>
      </c>
      <c r="O699" s="3">
        <v>1.5925925925925926</v>
      </c>
      <c r="P699">
        <v>25</v>
      </c>
      <c r="Q699">
        <v>53.615960099750623</v>
      </c>
      <c r="R699">
        <v>0.83126994379348462</v>
      </c>
      <c r="S699">
        <v>31.20826444763529</v>
      </c>
      <c r="T699">
        <v>5.4847098672395456</v>
      </c>
      <c r="U699">
        <v>1</v>
      </c>
      <c r="V699">
        <v>27</v>
      </c>
      <c r="W699">
        <v>75</v>
      </c>
      <c r="X699">
        <v>42</v>
      </c>
      <c r="Y699">
        <v>11</v>
      </c>
      <c r="Z699">
        <v>550</v>
      </c>
      <c r="AA699">
        <v>149</v>
      </c>
    </row>
    <row r="700" spans="1:27" hidden="1">
      <c r="A700">
        <v>68</v>
      </c>
      <c r="B700">
        <v>1</v>
      </c>
      <c r="C700">
        <v>22.03856749311295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66</v>
      </c>
      <c r="M700">
        <v>127</v>
      </c>
      <c r="N700">
        <v>24</v>
      </c>
      <c r="O700" s="3">
        <v>5.291666666666667</v>
      </c>
      <c r="P700">
        <v>28</v>
      </c>
      <c r="Q700">
        <v>78.881987577639748</v>
      </c>
      <c r="R700">
        <v>1.8410206480774141</v>
      </c>
      <c r="S700">
        <v>30.941792749016059</v>
      </c>
      <c r="T700">
        <v>5.7876795445134546</v>
      </c>
      <c r="U700">
        <v>1</v>
      </c>
      <c r="V700">
        <v>7</v>
      </c>
      <c r="W700">
        <v>42</v>
      </c>
      <c r="X700">
        <v>3</v>
      </c>
      <c r="Y700">
        <v>2</v>
      </c>
      <c r="Z700">
        <v>869</v>
      </c>
      <c r="AA700">
        <v>708</v>
      </c>
    </row>
    <row r="701" spans="1:27">
      <c r="A701">
        <v>58</v>
      </c>
      <c r="B701">
        <v>1</v>
      </c>
      <c r="C701">
        <v>20.897959183673471</v>
      </c>
      <c r="D701">
        <v>0</v>
      </c>
      <c r="E701">
        <v>1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68</v>
      </c>
      <c r="M701">
        <v>208</v>
      </c>
      <c r="N701">
        <v>311</v>
      </c>
      <c r="O701" s="3">
        <v>0.6688102893890675</v>
      </c>
      <c r="P701">
        <v>34</v>
      </c>
      <c r="Q701">
        <v>32.398753894080997</v>
      </c>
      <c r="R701">
        <v>0.42464393159062119</v>
      </c>
      <c r="S701">
        <v>31.371608417568321</v>
      </c>
      <c r="T701">
        <v>7.4007060805199698</v>
      </c>
      <c r="U701">
        <v>8</v>
      </c>
      <c r="V701">
        <v>25</v>
      </c>
      <c r="W701">
        <v>75</v>
      </c>
      <c r="X701">
        <v>24</v>
      </c>
      <c r="Y701">
        <v>21</v>
      </c>
      <c r="Z701">
        <v>1088</v>
      </c>
      <c r="AA701">
        <v>446</v>
      </c>
    </row>
    <row r="702" spans="1:27" hidden="1">
      <c r="A702">
        <v>33</v>
      </c>
      <c r="B702">
        <v>1</v>
      </c>
      <c r="C702">
        <v>20.66115702479339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88</v>
      </c>
      <c r="M702">
        <v>127</v>
      </c>
      <c r="N702">
        <v>65</v>
      </c>
      <c r="O702" s="3">
        <v>1.9538461538461538</v>
      </c>
      <c r="P702">
        <v>20</v>
      </c>
      <c r="Q702">
        <v>58.256880733944953</v>
      </c>
      <c r="R702">
        <v>1.0333515201395591</v>
      </c>
      <c r="S702">
        <v>30.502383015751601</v>
      </c>
      <c r="T702">
        <v>6.2225144788415694</v>
      </c>
      <c r="U702">
        <v>0</v>
      </c>
      <c r="V702">
        <v>6</v>
      </c>
      <c r="W702">
        <v>59</v>
      </c>
      <c r="X702">
        <v>0</v>
      </c>
      <c r="Y702">
        <v>0</v>
      </c>
      <c r="Z702">
        <v>417</v>
      </c>
      <c r="AA702">
        <v>199</v>
      </c>
    </row>
    <row r="703" spans="1:27" hidden="1">
      <c r="A703">
        <v>65</v>
      </c>
      <c r="B703">
        <v>0</v>
      </c>
      <c r="C703">
        <v>25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71</v>
      </c>
      <c r="M703">
        <v>57</v>
      </c>
      <c r="N703">
        <v>52</v>
      </c>
      <c r="O703" s="3">
        <v>1.0961538461538463</v>
      </c>
      <c r="P703">
        <v>21</v>
      </c>
      <c r="Q703">
        <v>14.321608040200999</v>
      </c>
      <c r="R703">
        <v>0.35839885795674681</v>
      </c>
      <c r="S703">
        <v>31.167485876380159</v>
      </c>
      <c r="T703">
        <v>4.6413257527916709</v>
      </c>
      <c r="U703">
        <v>10</v>
      </c>
      <c r="V703">
        <v>28</v>
      </c>
      <c r="W703">
        <v>61</v>
      </c>
      <c r="X703">
        <v>14</v>
      </c>
      <c r="Y703">
        <v>12</v>
      </c>
      <c r="Z703">
        <v>478</v>
      </c>
      <c r="AA703">
        <v>80</v>
      </c>
    </row>
    <row r="704" spans="1:27">
      <c r="A704">
        <v>62</v>
      </c>
      <c r="B704">
        <v>0</v>
      </c>
      <c r="C704">
        <v>25.777777777777779</v>
      </c>
      <c r="D704">
        <v>0</v>
      </c>
      <c r="E704">
        <v>1</v>
      </c>
      <c r="F704">
        <v>1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78</v>
      </c>
      <c r="M704">
        <v>150</v>
      </c>
      <c r="N704">
        <v>81</v>
      </c>
      <c r="O704" s="3">
        <v>1.8518518518518519</v>
      </c>
      <c r="P704">
        <v>20</v>
      </c>
      <c r="Q704">
        <v>59.055118110236222</v>
      </c>
      <c r="R704">
        <v>0.38385792094691168</v>
      </c>
      <c r="S704">
        <v>31.573012973195709</v>
      </c>
      <c r="T704">
        <v>4.9052437904911166</v>
      </c>
      <c r="U704">
        <v>6</v>
      </c>
      <c r="V704">
        <v>13</v>
      </c>
      <c r="W704">
        <v>91</v>
      </c>
      <c r="X704">
        <v>32</v>
      </c>
      <c r="Y704">
        <v>23</v>
      </c>
      <c r="Z704">
        <v>412</v>
      </c>
      <c r="AA704">
        <v>158</v>
      </c>
    </row>
    <row r="705" spans="1:27" hidden="1">
      <c r="A705">
        <v>59</v>
      </c>
      <c r="B705">
        <v>0</v>
      </c>
      <c r="C705">
        <v>23.42209072978304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70</v>
      </c>
      <c r="M705">
        <v>312</v>
      </c>
      <c r="N705">
        <v>211</v>
      </c>
      <c r="O705" s="3">
        <v>1.4786729857819905</v>
      </c>
      <c r="P705">
        <v>30</v>
      </c>
      <c r="Q705">
        <v>51.147540983606561</v>
      </c>
      <c r="R705">
        <v>0.4521651196073263</v>
      </c>
      <c r="S705">
        <v>31.275287944881761</v>
      </c>
      <c r="T705">
        <v>6.1179040821892414</v>
      </c>
      <c r="U705">
        <v>14</v>
      </c>
      <c r="V705">
        <v>9</v>
      </c>
      <c r="W705">
        <v>46</v>
      </c>
      <c r="X705">
        <v>15</v>
      </c>
      <c r="Y705">
        <v>20</v>
      </c>
      <c r="Z705">
        <v>920</v>
      </c>
      <c r="AA705">
        <v>310</v>
      </c>
    </row>
    <row r="706" spans="1:27" hidden="1">
      <c r="A706">
        <v>58</v>
      </c>
      <c r="B706">
        <v>1</v>
      </c>
      <c r="C706">
        <v>20.715693808680541</v>
      </c>
      <c r="D706">
        <v>0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0</v>
      </c>
      <c r="L706">
        <v>74</v>
      </c>
      <c r="M706">
        <v>25</v>
      </c>
      <c r="N706">
        <v>16</v>
      </c>
      <c r="O706" s="3">
        <v>1.5625</v>
      </c>
      <c r="P706">
        <v>15</v>
      </c>
      <c r="Q706">
        <v>49.019607843137258</v>
      </c>
      <c r="R706">
        <v>0.86828527667471533</v>
      </c>
      <c r="S706">
        <v>30.9764405302118</v>
      </c>
      <c r="T706">
        <v>3.5399854098734278</v>
      </c>
      <c r="U706">
        <v>3</v>
      </c>
      <c r="V706">
        <v>10</v>
      </c>
      <c r="W706">
        <v>38</v>
      </c>
      <c r="X706">
        <v>3</v>
      </c>
      <c r="Y706">
        <v>0</v>
      </c>
      <c r="Z706">
        <v>263</v>
      </c>
      <c r="AA706">
        <v>212</v>
      </c>
    </row>
    <row r="707" spans="1:27" hidden="1">
      <c r="A707">
        <v>58</v>
      </c>
      <c r="B707">
        <v>1</v>
      </c>
      <c r="C707">
        <v>18.125235115078141</v>
      </c>
      <c r="D707">
        <v>0</v>
      </c>
      <c r="E707">
        <v>1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63</v>
      </c>
      <c r="M707">
        <v>791</v>
      </c>
      <c r="N707">
        <v>59</v>
      </c>
      <c r="O707" s="3">
        <v>13.40677966101695</v>
      </c>
      <c r="P707">
        <v>48</v>
      </c>
      <c r="Q707">
        <v>91.869918699186996</v>
      </c>
      <c r="R707">
        <v>1.6040881224004759</v>
      </c>
      <c r="S707">
        <v>28.823339338939309</v>
      </c>
      <c r="T707">
        <v>10.495050138888891</v>
      </c>
      <c r="U707">
        <v>3</v>
      </c>
      <c r="V707">
        <v>12</v>
      </c>
      <c r="W707">
        <v>49</v>
      </c>
      <c r="X707">
        <v>3</v>
      </c>
      <c r="Y707">
        <v>0</v>
      </c>
      <c r="Z707">
        <v>2803</v>
      </c>
      <c r="AA707">
        <v>1942</v>
      </c>
    </row>
    <row r="708" spans="1:27" hidden="1">
      <c r="A708">
        <v>39</v>
      </c>
      <c r="B708">
        <v>1</v>
      </c>
      <c r="C708">
        <v>34.720882681995292</v>
      </c>
      <c r="D708">
        <v>0</v>
      </c>
      <c r="E708">
        <v>1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81</v>
      </c>
      <c r="M708">
        <v>53</v>
      </c>
      <c r="N708">
        <v>5</v>
      </c>
      <c r="O708" s="3">
        <v>10.6</v>
      </c>
      <c r="P708">
        <v>10</v>
      </c>
      <c r="Q708">
        <v>84.126984126984127</v>
      </c>
      <c r="R708">
        <v>1.237042520518697</v>
      </c>
      <c r="S708">
        <v>31.223739531608221</v>
      </c>
      <c r="T708">
        <v>4.707821746031744</v>
      </c>
      <c r="U708">
        <v>24</v>
      </c>
      <c r="V708">
        <v>34</v>
      </c>
      <c r="W708">
        <v>65</v>
      </c>
      <c r="X708">
        <v>18</v>
      </c>
      <c r="Y708">
        <v>29</v>
      </c>
      <c r="Z708">
        <v>128</v>
      </c>
      <c r="AA708">
        <v>65</v>
      </c>
    </row>
    <row r="709" spans="1:27" hidden="1">
      <c r="A709">
        <v>38</v>
      </c>
      <c r="B709">
        <v>1</v>
      </c>
      <c r="C709">
        <v>24.242424242424249</v>
      </c>
      <c r="D709">
        <v>0</v>
      </c>
      <c r="E709">
        <v>1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62</v>
      </c>
      <c r="M709">
        <v>145</v>
      </c>
      <c r="N709">
        <v>177</v>
      </c>
      <c r="O709" s="3">
        <v>0.8192090395480226</v>
      </c>
      <c r="P709">
        <v>28</v>
      </c>
      <c r="Q709">
        <v>41.428571428571431</v>
      </c>
      <c r="R709">
        <v>0.76442964398814728</v>
      </c>
      <c r="S709">
        <v>30.199513755601121</v>
      </c>
      <c r="T709">
        <v>6.0713648088023104</v>
      </c>
      <c r="U709">
        <v>15</v>
      </c>
      <c r="V709">
        <v>53</v>
      </c>
      <c r="W709">
        <v>81</v>
      </c>
      <c r="X709">
        <v>47</v>
      </c>
      <c r="Y709">
        <v>36</v>
      </c>
      <c r="Z709">
        <v>845</v>
      </c>
      <c r="AA709">
        <v>495</v>
      </c>
    </row>
    <row r="710" spans="1:27" hidden="1">
      <c r="A710">
        <v>45</v>
      </c>
      <c r="B710">
        <v>0</v>
      </c>
      <c r="C710">
        <v>19.834710743801651</v>
      </c>
      <c r="D710">
        <v>0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66</v>
      </c>
      <c r="M710">
        <v>196</v>
      </c>
      <c r="N710">
        <v>161</v>
      </c>
      <c r="O710" s="3">
        <v>1.2173913043478262</v>
      </c>
      <c r="P710">
        <v>28</v>
      </c>
      <c r="Q710">
        <v>51.578947368421048</v>
      </c>
      <c r="R710">
        <v>0.47445687288083221</v>
      </c>
      <c r="S710">
        <v>29.728104071299281</v>
      </c>
      <c r="T710">
        <v>6.6171482813918088</v>
      </c>
      <c r="U710">
        <v>13</v>
      </c>
      <c r="V710">
        <v>16</v>
      </c>
      <c r="W710">
        <v>37</v>
      </c>
      <c r="X710">
        <v>19</v>
      </c>
      <c r="Y710">
        <v>12</v>
      </c>
      <c r="Z710">
        <v>904</v>
      </c>
      <c r="AA710">
        <v>524</v>
      </c>
    </row>
    <row r="711" spans="1:27">
      <c r="A711">
        <v>35</v>
      </c>
      <c r="B711">
        <v>0</v>
      </c>
      <c r="C711">
        <v>21.75546853368142</v>
      </c>
      <c r="D711">
        <v>0</v>
      </c>
      <c r="E711">
        <v>1</v>
      </c>
      <c r="F711">
        <v>1</v>
      </c>
      <c r="G711">
        <v>1</v>
      </c>
      <c r="H711">
        <v>1</v>
      </c>
      <c r="I711">
        <v>0</v>
      </c>
      <c r="J711">
        <v>0</v>
      </c>
      <c r="K711">
        <v>0</v>
      </c>
      <c r="L711">
        <v>75</v>
      </c>
      <c r="M711">
        <v>518</v>
      </c>
      <c r="N711">
        <v>274</v>
      </c>
      <c r="O711" s="3">
        <v>1.8905109489051095</v>
      </c>
      <c r="P711">
        <v>43</v>
      </c>
      <c r="Q711">
        <v>61.084905660377359</v>
      </c>
      <c r="R711">
        <v>0.43758442699648759</v>
      </c>
      <c r="S711">
        <v>30.885758723889481</v>
      </c>
      <c r="T711">
        <v>9.92140394956356</v>
      </c>
      <c r="U711">
        <v>3</v>
      </c>
      <c r="V711">
        <v>2</v>
      </c>
      <c r="W711">
        <v>78</v>
      </c>
      <c r="X711">
        <v>15</v>
      </c>
      <c r="Y711">
        <v>4</v>
      </c>
      <c r="Z711">
        <v>1876</v>
      </c>
      <c r="AA711">
        <v>1028</v>
      </c>
    </row>
    <row r="712" spans="1:27" hidden="1">
      <c r="A712">
        <v>30</v>
      </c>
      <c r="B712">
        <v>0</v>
      </c>
      <c r="C712">
        <v>19.62826470116968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73</v>
      </c>
      <c r="M712">
        <v>376</v>
      </c>
      <c r="N712">
        <v>107</v>
      </c>
      <c r="O712" s="3">
        <v>3.514018691588785</v>
      </c>
      <c r="P712">
        <v>39</v>
      </c>
      <c r="Q712">
        <v>72.727272727272734</v>
      </c>
      <c r="R712">
        <v>1.665600022058237</v>
      </c>
      <c r="S712">
        <v>29.885931241096841</v>
      </c>
      <c r="T712">
        <v>9.0598336166117761</v>
      </c>
      <c r="U712">
        <v>2</v>
      </c>
      <c r="V712">
        <v>26</v>
      </c>
      <c r="W712">
        <v>51</v>
      </c>
      <c r="X712">
        <v>2</v>
      </c>
      <c r="Y712">
        <v>2</v>
      </c>
      <c r="Z712">
        <v>1800</v>
      </c>
      <c r="AA712">
        <v>1283</v>
      </c>
    </row>
    <row r="713" spans="1:27" hidden="1">
      <c r="A713">
        <v>43</v>
      </c>
      <c r="B713">
        <v>0</v>
      </c>
      <c r="C713">
        <v>19.361826529536369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80</v>
      </c>
      <c r="M713">
        <v>207</v>
      </c>
      <c r="N713">
        <v>61</v>
      </c>
      <c r="O713" s="3">
        <v>3.3934426229508197</v>
      </c>
      <c r="P713">
        <v>22</v>
      </c>
      <c r="Q713">
        <v>71.875</v>
      </c>
      <c r="R713">
        <v>0.72277429991418218</v>
      </c>
      <c r="S713">
        <v>30.326966875377561</v>
      </c>
      <c r="T713">
        <v>6.0987995418470398</v>
      </c>
      <c r="U713">
        <v>11</v>
      </c>
      <c r="V713">
        <v>34</v>
      </c>
      <c r="W713">
        <v>71</v>
      </c>
      <c r="X713">
        <v>18</v>
      </c>
      <c r="Y713">
        <v>27</v>
      </c>
      <c r="Z713">
        <v>551</v>
      </c>
      <c r="AA713">
        <v>263</v>
      </c>
    </row>
    <row r="714" spans="1:27" hidden="1">
      <c r="A714">
        <v>53</v>
      </c>
      <c r="B714">
        <v>0</v>
      </c>
      <c r="C714">
        <v>19.568236333796239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53</v>
      </c>
      <c r="M714">
        <v>273</v>
      </c>
      <c r="N714">
        <v>109</v>
      </c>
      <c r="O714" s="3">
        <v>2.5045871559633026</v>
      </c>
      <c r="P714">
        <v>38</v>
      </c>
      <c r="Q714">
        <v>67.741935483870961</v>
      </c>
      <c r="R714">
        <v>2.065651601621775</v>
      </c>
      <c r="S714">
        <v>28.83167486439763</v>
      </c>
      <c r="T714">
        <v>6.1938790111816067</v>
      </c>
      <c r="U714">
        <v>2</v>
      </c>
      <c r="V714">
        <v>10</v>
      </c>
      <c r="W714">
        <v>71</v>
      </c>
      <c r="X714">
        <v>14</v>
      </c>
      <c r="Y714">
        <v>3</v>
      </c>
      <c r="Z714">
        <v>1433</v>
      </c>
      <c r="AA714">
        <v>1030</v>
      </c>
    </row>
    <row r="715" spans="1:27" hidden="1">
      <c r="A715">
        <v>59</v>
      </c>
      <c r="B715">
        <v>0</v>
      </c>
      <c r="C715">
        <v>22.432302515622489</v>
      </c>
      <c r="D715">
        <v>0</v>
      </c>
      <c r="E715">
        <v>1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85</v>
      </c>
      <c r="M715">
        <v>38</v>
      </c>
      <c r="N715">
        <v>49</v>
      </c>
      <c r="O715" s="3">
        <v>0.77551020408163263</v>
      </c>
      <c r="P715">
        <v>14</v>
      </c>
      <c r="Q715">
        <v>37.623762376237622</v>
      </c>
      <c r="R715">
        <v>0.39116960581761678</v>
      </c>
      <c r="S715">
        <v>31.49391271501381</v>
      </c>
      <c r="T715">
        <v>4.5893724552655542</v>
      </c>
      <c r="U715">
        <v>10</v>
      </c>
      <c r="V715">
        <v>38</v>
      </c>
      <c r="W715">
        <v>71</v>
      </c>
      <c r="X715">
        <v>15</v>
      </c>
      <c r="Y715">
        <v>39</v>
      </c>
      <c r="Z715">
        <v>214</v>
      </c>
      <c r="AA715">
        <v>113</v>
      </c>
    </row>
    <row r="716" spans="1:27" hidden="1">
      <c r="A716">
        <v>28</v>
      </c>
      <c r="B716">
        <v>0</v>
      </c>
      <c r="C716">
        <v>17.928215425436552</v>
      </c>
      <c r="D716">
        <v>0</v>
      </c>
      <c r="E716">
        <v>1</v>
      </c>
      <c r="F716">
        <v>0</v>
      </c>
      <c r="G716">
        <v>1</v>
      </c>
      <c r="H716">
        <v>1</v>
      </c>
      <c r="I716">
        <v>0</v>
      </c>
      <c r="J716">
        <v>0</v>
      </c>
      <c r="K716">
        <v>0</v>
      </c>
      <c r="L716">
        <v>92</v>
      </c>
      <c r="M716">
        <v>3879</v>
      </c>
      <c r="N716">
        <v>6373</v>
      </c>
      <c r="O716" s="3">
        <v>0.60866154087556879</v>
      </c>
      <c r="P716">
        <v>136</v>
      </c>
      <c r="Q716">
        <v>29.518301499124881</v>
      </c>
      <c r="R716">
        <v>0.61986630627962258</v>
      </c>
      <c r="S716">
        <v>27.903935380876451</v>
      </c>
      <c r="T716">
        <v>45.440967460317459</v>
      </c>
      <c r="U716">
        <v>20</v>
      </c>
      <c r="V716">
        <v>53</v>
      </c>
      <c r="W716">
        <v>69</v>
      </c>
      <c r="X716">
        <v>31</v>
      </c>
      <c r="Y716">
        <v>35</v>
      </c>
      <c r="Z716">
        <v>15591</v>
      </c>
      <c r="AA716">
        <v>2450</v>
      </c>
    </row>
    <row r="717" spans="1:27">
      <c r="A717">
        <v>30</v>
      </c>
      <c r="B717">
        <v>0</v>
      </c>
      <c r="C717">
        <v>17.08744499978641</v>
      </c>
      <c r="D717">
        <v>0</v>
      </c>
      <c r="E717">
        <v>1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85</v>
      </c>
      <c r="M717">
        <v>331</v>
      </c>
      <c r="N717">
        <v>131</v>
      </c>
      <c r="O717" s="3">
        <v>2.5267175572519083</v>
      </c>
      <c r="P717">
        <v>32</v>
      </c>
      <c r="Q717">
        <v>63.288718929254301</v>
      </c>
      <c r="R717">
        <v>0.61445029588880384</v>
      </c>
      <c r="S717">
        <v>29.327558334072759</v>
      </c>
      <c r="T717">
        <v>6.804613817516671</v>
      </c>
      <c r="U717">
        <v>21</v>
      </c>
      <c r="V717">
        <v>36</v>
      </c>
      <c r="W717">
        <v>77</v>
      </c>
      <c r="X717">
        <v>43</v>
      </c>
      <c r="Y717">
        <v>38</v>
      </c>
      <c r="Z717">
        <v>1045</v>
      </c>
      <c r="AA717">
        <v>522</v>
      </c>
    </row>
    <row r="718" spans="1:27">
      <c r="A718">
        <v>38</v>
      </c>
      <c r="B718">
        <v>1</v>
      </c>
      <c r="C718">
        <v>23.661438615467819</v>
      </c>
      <c r="D718">
        <v>0</v>
      </c>
      <c r="E718">
        <v>1</v>
      </c>
      <c r="F718">
        <v>1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87</v>
      </c>
      <c r="M718">
        <v>745</v>
      </c>
      <c r="N718">
        <v>371</v>
      </c>
      <c r="O718" s="3">
        <v>2.0080862533692723</v>
      </c>
      <c r="P718">
        <v>44</v>
      </c>
      <c r="Q718">
        <v>65.696649029982368</v>
      </c>
      <c r="R718">
        <v>0.66513833108379172</v>
      </c>
      <c r="S718">
        <v>28.4558115974354</v>
      </c>
      <c r="T718">
        <v>11.798537234750359</v>
      </c>
      <c r="U718">
        <v>12</v>
      </c>
      <c r="V718">
        <v>37</v>
      </c>
      <c r="W718">
        <v>53</v>
      </c>
      <c r="X718">
        <v>16</v>
      </c>
      <c r="Y718">
        <v>23</v>
      </c>
      <c r="Z718">
        <v>2124</v>
      </c>
      <c r="AA718">
        <v>990</v>
      </c>
    </row>
    <row r="719" spans="1:27" hidden="1">
      <c r="A719">
        <v>36</v>
      </c>
      <c r="B719">
        <v>0</v>
      </c>
      <c r="C719">
        <v>19.77769866698311</v>
      </c>
      <c r="D719">
        <v>0</v>
      </c>
      <c r="E719">
        <v>1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89</v>
      </c>
      <c r="M719">
        <v>247</v>
      </c>
      <c r="N719">
        <v>370</v>
      </c>
      <c r="O719" s="3">
        <v>0.66756756756756752</v>
      </c>
      <c r="P719">
        <v>43</v>
      </c>
      <c r="Q719">
        <v>20.130399348003259</v>
      </c>
      <c r="R719">
        <v>0.60142853760996495</v>
      </c>
      <c r="S719">
        <v>29.505761122938161</v>
      </c>
      <c r="T719">
        <v>9.9994473055961617</v>
      </c>
      <c r="U719">
        <v>5</v>
      </c>
      <c r="V719">
        <v>9</v>
      </c>
      <c r="W719">
        <v>72</v>
      </c>
      <c r="X719">
        <v>4</v>
      </c>
      <c r="Y719">
        <v>4</v>
      </c>
      <c r="Z719">
        <v>1702</v>
      </c>
      <c r="AA719">
        <v>475</v>
      </c>
    </row>
    <row r="720" spans="1:27">
      <c r="A720">
        <v>21</v>
      </c>
      <c r="B720">
        <v>1</v>
      </c>
      <c r="C720">
        <v>25.95155709342561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65</v>
      </c>
      <c r="M720">
        <v>857</v>
      </c>
      <c r="N720">
        <v>726</v>
      </c>
      <c r="O720" s="3">
        <v>1.1804407713498624</v>
      </c>
      <c r="P720">
        <v>61</v>
      </c>
      <c r="Q720">
        <v>50.116959064327489</v>
      </c>
      <c r="R720">
        <v>0.81559060426235064</v>
      </c>
      <c r="S720">
        <v>30.0679154255726</v>
      </c>
      <c r="T720">
        <v>13.180674826067969</v>
      </c>
      <c r="U720">
        <v>12</v>
      </c>
      <c r="V720">
        <v>6</v>
      </c>
      <c r="W720">
        <v>44</v>
      </c>
      <c r="X720">
        <v>24</v>
      </c>
      <c r="Y720">
        <v>10</v>
      </c>
      <c r="Z720">
        <v>3666</v>
      </c>
      <c r="AA720">
        <v>1956</v>
      </c>
    </row>
    <row r="721" spans="1:27" hidden="1">
      <c r="A721">
        <v>45</v>
      </c>
      <c r="B721">
        <v>0</v>
      </c>
      <c r="C721">
        <v>21.644120707596251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79</v>
      </c>
      <c r="M721">
        <v>117</v>
      </c>
      <c r="N721">
        <v>110</v>
      </c>
      <c r="O721" s="3">
        <v>1.0636363636363637</v>
      </c>
      <c r="P721">
        <v>25</v>
      </c>
      <c r="Q721">
        <v>44.31818181818182</v>
      </c>
      <c r="R721">
        <v>0.40519074835427299</v>
      </c>
      <c r="S721">
        <v>30.575775110692749</v>
      </c>
      <c r="T721">
        <v>6.130295313562403</v>
      </c>
      <c r="U721">
        <v>6</v>
      </c>
      <c r="V721">
        <v>9</v>
      </c>
      <c r="W721">
        <v>62</v>
      </c>
      <c r="X721">
        <v>6</v>
      </c>
      <c r="Y721">
        <v>5</v>
      </c>
      <c r="Z721">
        <v>628</v>
      </c>
      <c r="AA721">
        <v>364</v>
      </c>
    </row>
    <row r="722" spans="1:27" hidden="1">
      <c r="A722">
        <v>58</v>
      </c>
      <c r="B722">
        <v>0</v>
      </c>
      <c r="C722">
        <v>29.309715120525929</v>
      </c>
      <c r="D722">
        <v>0</v>
      </c>
      <c r="E722">
        <v>1</v>
      </c>
      <c r="F722">
        <v>0</v>
      </c>
      <c r="G722">
        <v>1</v>
      </c>
      <c r="H722">
        <v>1</v>
      </c>
      <c r="I722">
        <v>0</v>
      </c>
      <c r="J722">
        <v>0</v>
      </c>
      <c r="K722">
        <v>0</v>
      </c>
      <c r="L722">
        <v>72</v>
      </c>
      <c r="M722">
        <v>61</v>
      </c>
      <c r="N722">
        <v>32</v>
      </c>
      <c r="O722" s="3">
        <v>1.90625</v>
      </c>
      <c r="P722">
        <v>18</v>
      </c>
      <c r="Q722">
        <v>59.803921568627452</v>
      </c>
      <c r="R722">
        <v>0.42621862499849328</v>
      </c>
      <c r="S722">
        <v>31.219853118619039</v>
      </c>
      <c r="T722">
        <v>4.6375694711700879</v>
      </c>
      <c r="U722">
        <v>5</v>
      </c>
      <c r="V722">
        <v>6</v>
      </c>
      <c r="W722">
        <v>36</v>
      </c>
      <c r="X722">
        <v>15</v>
      </c>
      <c r="Y722">
        <v>5</v>
      </c>
      <c r="Z722">
        <v>343</v>
      </c>
      <c r="AA722">
        <v>241</v>
      </c>
    </row>
    <row r="723" spans="1:27" hidden="1">
      <c r="A723">
        <v>65</v>
      </c>
      <c r="B723">
        <v>1</v>
      </c>
      <c r="C723">
        <v>22.23201410030444</v>
      </c>
      <c r="D723">
        <v>0</v>
      </c>
      <c r="E723">
        <v>1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81</v>
      </c>
      <c r="M723">
        <v>115</v>
      </c>
      <c r="N723">
        <v>120</v>
      </c>
      <c r="O723" s="3">
        <v>0.95833333333333337</v>
      </c>
      <c r="P723">
        <v>25</v>
      </c>
      <c r="Q723">
        <v>42.910447761194028</v>
      </c>
      <c r="R723">
        <v>0.3496316561376181</v>
      </c>
      <c r="S723">
        <v>31.43836113211999</v>
      </c>
      <c r="T723">
        <v>5.6885338095238094</v>
      </c>
      <c r="U723">
        <v>13</v>
      </c>
      <c r="V723">
        <v>31</v>
      </c>
      <c r="W723">
        <v>73</v>
      </c>
      <c r="X723">
        <v>18</v>
      </c>
      <c r="Y723">
        <v>21</v>
      </c>
      <c r="Z723">
        <v>678</v>
      </c>
      <c r="AA723">
        <v>410</v>
      </c>
    </row>
    <row r="724" spans="1:27" hidden="1">
      <c r="A724">
        <v>30</v>
      </c>
      <c r="B724">
        <v>0</v>
      </c>
      <c r="C724">
        <v>27.06763924409637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65</v>
      </c>
      <c r="M724">
        <v>636</v>
      </c>
      <c r="N724">
        <v>1211</v>
      </c>
      <c r="O724" s="3">
        <v>0.52518579686209743</v>
      </c>
      <c r="P724">
        <v>63</v>
      </c>
      <c r="Q724">
        <v>30.08514664143803</v>
      </c>
      <c r="R724">
        <v>1.1239025818656849</v>
      </c>
      <c r="S724">
        <v>29.7890334666406</v>
      </c>
      <c r="T724">
        <v>13.385412784474291</v>
      </c>
      <c r="U724">
        <v>0</v>
      </c>
      <c r="V724">
        <v>15</v>
      </c>
      <c r="W724">
        <v>51</v>
      </c>
      <c r="X724">
        <v>2</v>
      </c>
      <c r="Y724">
        <v>0</v>
      </c>
      <c r="Z724">
        <v>3844</v>
      </c>
      <c r="AA724">
        <v>1730</v>
      </c>
    </row>
    <row r="725" spans="1:27" hidden="1">
      <c r="A725">
        <v>36</v>
      </c>
      <c r="B725">
        <v>0</v>
      </c>
      <c r="C725">
        <v>19.814052735863431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69</v>
      </c>
      <c r="M725">
        <v>481</v>
      </c>
      <c r="N725">
        <v>366</v>
      </c>
      <c r="O725" s="3">
        <v>1.3142076502732241</v>
      </c>
      <c r="P725">
        <v>34</v>
      </c>
      <c r="Q725">
        <v>52.453653217011997</v>
      </c>
      <c r="R725">
        <v>0.42570240083875172</v>
      </c>
      <c r="S725">
        <v>29.955575159930401</v>
      </c>
      <c r="T725">
        <v>9.4745102079165164</v>
      </c>
      <c r="U725">
        <v>3</v>
      </c>
      <c r="V725">
        <v>5</v>
      </c>
      <c r="W725">
        <v>59</v>
      </c>
      <c r="X725">
        <v>7</v>
      </c>
      <c r="Y725">
        <v>1</v>
      </c>
      <c r="Z725">
        <v>1121</v>
      </c>
      <c r="AA725">
        <v>204</v>
      </c>
    </row>
    <row r="726" spans="1:27" hidden="1">
      <c r="A726">
        <v>37</v>
      </c>
      <c r="B726">
        <v>0</v>
      </c>
      <c r="C726">
        <v>28.124999999999989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80</v>
      </c>
      <c r="M726">
        <v>351</v>
      </c>
      <c r="N726">
        <v>271</v>
      </c>
      <c r="O726" s="3">
        <v>1.2952029520295203</v>
      </c>
      <c r="P726">
        <v>42</v>
      </c>
      <c r="Q726">
        <v>52.544910179640723</v>
      </c>
      <c r="R726">
        <v>0.37725195666961497</v>
      </c>
      <c r="S726">
        <v>31.6544701440165</v>
      </c>
      <c r="T726">
        <v>9.5600259335316373</v>
      </c>
      <c r="U726">
        <v>8</v>
      </c>
      <c r="V726">
        <v>30</v>
      </c>
      <c r="W726">
        <v>67</v>
      </c>
      <c r="X726">
        <v>22</v>
      </c>
      <c r="Y726">
        <v>19</v>
      </c>
      <c r="Z726">
        <v>1902</v>
      </c>
      <c r="AA726">
        <v>1234</v>
      </c>
    </row>
    <row r="727" spans="1:27">
      <c r="A727">
        <v>63</v>
      </c>
      <c r="B727">
        <v>1</v>
      </c>
      <c r="C727">
        <v>22.03172568498638</v>
      </c>
      <c r="D727">
        <v>0</v>
      </c>
      <c r="E727">
        <v>1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91</v>
      </c>
      <c r="M727">
        <v>135</v>
      </c>
      <c r="N727">
        <v>89</v>
      </c>
      <c r="O727" s="3">
        <v>1.5168539325842696</v>
      </c>
      <c r="P727">
        <v>20</v>
      </c>
      <c r="Q727">
        <v>54.435483870967737</v>
      </c>
      <c r="R727">
        <v>0.50948897816365379</v>
      </c>
      <c r="S727">
        <v>31.15661905592707</v>
      </c>
      <c r="T727">
        <v>5.2298190241702729</v>
      </c>
      <c r="U727">
        <v>8</v>
      </c>
      <c r="V727">
        <v>20</v>
      </c>
      <c r="W727">
        <v>48</v>
      </c>
      <c r="X727">
        <v>26</v>
      </c>
      <c r="Y727">
        <v>26</v>
      </c>
      <c r="Z727">
        <v>468</v>
      </c>
      <c r="AA727">
        <v>220</v>
      </c>
    </row>
    <row r="728" spans="1:27" hidden="1">
      <c r="A728">
        <v>40</v>
      </c>
      <c r="B728">
        <v>1</v>
      </c>
      <c r="C728">
        <v>25.95155709342561</v>
      </c>
      <c r="D728">
        <v>0</v>
      </c>
      <c r="E728">
        <v>1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78</v>
      </c>
      <c r="M728">
        <v>215</v>
      </c>
      <c r="N728">
        <v>64</v>
      </c>
      <c r="O728" s="3">
        <v>3.359375</v>
      </c>
      <c r="P728">
        <v>25</v>
      </c>
      <c r="Q728">
        <v>71.666666666666671</v>
      </c>
      <c r="R728">
        <v>0.69588718137478889</v>
      </c>
      <c r="S728">
        <v>31.105054598340821</v>
      </c>
      <c r="T728">
        <v>6.4087252471390048</v>
      </c>
      <c r="U728">
        <v>11</v>
      </c>
      <c r="V728">
        <v>30</v>
      </c>
      <c r="W728">
        <v>44</v>
      </c>
      <c r="X728">
        <v>21</v>
      </c>
      <c r="Y728">
        <v>14</v>
      </c>
      <c r="Z728">
        <v>669</v>
      </c>
      <c r="AA728">
        <v>369</v>
      </c>
    </row>
    <row r="729" spans="1:27" hidden="1">
      <c r="A729">
        <v>38</v>
      </c>
      <c r="B729">
        <v>0</v>
      </c>
      <c r="C729">
        <v>22.10028959000152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113</v>
      </c>
      <c r="M729">
        <v>51</v>
      </c>
      <c r="N729">
        <v>14</v>
      </c>
      <c r="O729" s="3">
        <v>3.6428571428571428</v>
      </c>
      <c r="P729">
        <v>10</v>
      </c>
      <c r="Q729">
        <v>72.857142857142861</v>
      </c>
      <c r="R729">
        <v>1.496443975996721</v>
      </c>
      <c r="S729">
        <v>31.14184573285225</v>
      </c>
      <c r="T729">
        <v>5.2870310275634189</v>
      </c>
      <c r="U729">
        <v>7</v>
      </c>
      <c r="V729">
        <v>15</v>
      </c>
      <c r="W729">
        <v>49</v>
      </c>
      <c r="X729">
        <v>2</v>
      </c>
      <c r="Y729">
        <v>6</v>
      </c>
      <c r="Z729">
        <v>128</v>
      </c>
      <c r="AA729">
        <v>58</v>
      </c>
    </row>
    <row r="730" spans="1:27" hidden="1">
      <c r="A730">
        <v>40</v>
      </c>
      <c r="B730">
        <v>0</v>
      </c>
      <c r="C730">
        <v>21.258503401360549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95</v>
      </c>
      <c r="M730">
        <v>213</v>
      </c>
      <c r="N730">
        <v>79</v>
      </c>
      <c r="O730" s="3">
        <v>2.6962025316455698</v>
      </c>
      <c r="P730">
        <v>23</v>
      </c>
      <c r="Q730">
        <v>69.15584415584415</v>
      </c>
      <c r="R730">
        <v>1.5856019239481609</v>
      </c>
      <c r="S730">
        <v>29.72165707187083</v>
      </c>
      <c r="T730">
        <v>6.8019790126050417</v>
      </c>
      <c r="U730">
        <v>2</v>
      </c>
      <c r="V730">
        <v>33</v>
      </c>
      <c r="W730">
        <v>39</v>
      </c>
      <c r="X730">
        <v>13</v>
      </c>
      <c r="Y730">
        <v>5</v>
      </c>
      <c r="Z730">
        <v>797</v>
      </c>
      <c r="AA730">
        <v>489</v>
      </c>
    </row>
    <row r="731" spans="1:27" hidden="1">
      <c r="A731">
        <v>39</v>
      </c>
      <c r="B731">
        <v>1</v>
      </c>
      <c r="C731">
        <v>21.672110130948379</v>
      </c>
      <c r="D731">
        <v>0</v>
      </c>
      <c r="E731">
        <v>1</v>
      </c>
      <c r="F731">
        <v>0</v>
      </c>
      <c r="G731">
        <v>1</v>
      </c>
      <c r="H731">
        <v>1</v>
      </c>
      <c r="I731">
        <v>0</v>
      </c>
      <c r="J731">
        <v>0</v>
      </c>
      <c r="K731">
        <v>0</v>
      </c>
      <c r="L731">
        <v>82</v>
      </c>
      <c r="M731">
        <v>335</v>
      </c>
      <c r="N731">
        <v>234</v>
      </c>
      <c r="O731" s="3">
        <v>1.4316239316239316</v>
      </c>
      <c r="P731">
        <v>34</v>
      </c>
      <c r="Q731">
        <v>51.857585139318893</v>
      </c>
      <c r="R731">
        <v>0.57277158236331438</v>
      </c>
      <c r="S731">
        <v>29.027705830835259</v>
      </c>
      <c r="T731">
        <v>8.3070597198807015</v>
      </c>
      <c r="U731">
        <v>4</v>
      </c>
      <c r="V731">
        <v>10</v>
      </c>
      <c r="W731">
        <v>52</v>
      </c>
      <c r="X731">
        <v>21</v>
      </c>
      <c r="Y731">
        <v>29</v>
      </c>
      <c r="Z731">
        <v>1190</v>
      </c>
      <c r="AA731">
        <v>544</v>
      </c>
    </row>
    <row r="732" spans="1:27" hidden="1">
      <c r="A732">
        <v>70</v>
      </c>
      <c r="B732">
        <v>0</v>
      </c>
      <c r="C732">
        <v>26.666666666666671</v>
      </c>
      <c r="D732">
        <v>0</v>
      </c>
      <c r="E732">
        <v>0</v>
      </c>
      <c r="F732">
        <v>0</v>
      </c>
      <c r="G732">
        <v>1</v>
      </c>
      <c r="H732">
        <v>1</v>
      </c>
      <c r="I732">
        <v>0</v>
      </c>
      <c r="J732">
        <v>0</v>
      </c>
      <c r="K732">
        <v>0</v>
      </c>
      <c r="L732">
        <v>75</v>
      </c>
      <c r="M732">
        <v>85</v>
      </c>
      <c r="N732">
        <v>23</v>
      </c>
      <c r="O732" s="3">
        <v>3.6956521739130435</v>
      </c>
      <c r="P732">
        <v>24</v>
      </c>
      <c r="Q732">
        <v>75.221238938053091</v>
      </c>
      <c r="R732">
        <v>1.6000961111111121</v>
      </c>
      <c r="S732">
        <v>31.980925835216301</v>
      </c>
      <c r="T732">
        <v>5.6379800039886252</v>
      </c>
      <c r="U732">
        <v>2</v>
      </c>
      <c r="V732">
        <v>14</v>
      </c>
      <c r="W732">
        <v>59</v>
      </c>
      <c r="X732">
        <v>0</v>
      </c>
      <c r="Y732">
        <v>2</v>
      </c>
      <c r="Z732">
        <v>612</v>
      </c>
      <c r="AA732">
        <v>499</v>
      </c>
    </row>
    <row r="733" spans="1:27">
      <c r="A733">
        <v>50</v>
      </c>
      <c r="B733">
        <v>0</v>
      </c>
      <c r="C733">
        <v>19.433013260173752</v>
      </c>
      <c r="D733">
        <v>0</v>
      </c>
      <c r="E733">
        <v>1</v>
      </c>
      <c r="F733">
        <v>1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63</v>
      </c>
      <c r="M733">
        <v>474</v>
      </c>
      <c r="N733">
        <v>148</v>
      </c>
      <c r="O733" s="3">
        <v>3.2027027027027026</v>
      </c>
      <c r="P733">
        <v>30</v>
      </c>
      <c r="Q733">
        <v>73.602484472049696</v>
      </c>
      <c r="R733">
        <v>0.84789049580613796</v>
      </c>
      <c r="S733">
        <v>30.198386241875689</v>
      </c>
      <c r="T733">
        <v>5.9803033284710443</v>
      </c>
      <c r="U733">
        <v>20</v>
      </c>
      <c r="V733">
        <v>26</v>
      </c>
      <c r="W733">
        <v>75</v>
      </c>
      <c r="X733">
        <v>13</v>
      </c>
      <c r="Y733">
        <v>42</v>
      </c>
      <c r="Z733">
        <v>960</v>
      </c>
      <c r="AA733">
        <v>316</v>
      </c>
    </row>
    <row r="734" spans="1:27">
      <c r="A734">
        <v>30</v>
      </c>
      <c r="B734">
        <v>0</v>
      </c>
      <c r="C734">
        <v>24.034609838166961</v>
      </c>
      <c r="D734">
        <v>0</v>
      </c>
      <c r="E734">
        <v>1</v>
      </c>
      <c r="F734">
        <v>1</v>
      </c>
      <c r="G734">
        <v>0</v>
      </c>
      <c r="H734">
        <v>1</v>
      </c>
      <c r="I734">
        <v>0</v>
      </c>
      <c r="J734">
        <v>0</v>
      </c>
      <c r="K734">
        <v>0</v>
      </c>
      <c r="L734">
        <v>79</v>
      </c>
      <c r="M734">
        <v>600</v>
      </c>
      <c r="N734">
        <v>260</v>
      </c>
      <c r="O734" s="3">
        <v>2.3076923076923075</v>
      </c>
      <c r="P734">
        <v>41</v>
      </c>
      <c r="Q734">
        <v>66.152149944873202</v>
      </c>
      <c r="R734">
        <v>0.58244626290419843</v>
      </c>
      <c r="S734">
        <v>29.14755293230802</v>
      </c>
      <c r="T734">
        <v>9.8447512060769355</v>
      </c>
      <c r="U734">
        <v>18</v>
      </c>
      <c r="V734">
        <v>37</v>
      </c>
      <c r="W734">
        <v>80</v>
      </c>
      <c r="X734">
        <v>37</v>
      </c>
      <c r="Y734">
        <v>36</v>
      </c>
      <c r="Z734">
        <v>1784</v>
      </c>
      <c r="AA734">
        <v>877</v>
      </c>
    </row>
    <row r="735" spans="1:27" hidden="1">
      <c r="A735">
        <v>40</v>
      </c>
      <c r="B735">
        <v>0</v>
      </c>
      <c r="C735">
        <v>28.566481994459831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87</v>
      </c>
      <c r="M735">
        <v>187</v>
      </c>
      <c r="N735">
        <v>142</v>
      </c>
      <c r="O735" s="3">
        <v>1.3169014084507042</v>
      </c>
      <c r="P735">
        <v>27</v>
      </c>
      <c r="Q735">
        <v>48.195876288659797</v>
      </c>
      <c r="R735">
        <v>0.99462299978186697</v>
      </c>
      <c r="S735">
        <v>31.567587325148029</v>
      </c>
      <c r="T735">
        <v>7.0406918274466479</v>
      </c>
      <c r="U735">
        <v>8</v>
      </c>
      <c r="V735">
        <v>15</v>
      </c>
      <c r="W735">
        <v>46</v>
      </c>
      <c r="X735">
        <v>2</v>
      </c>
      <c r="Y735">
        <v>6</v>
      </c>
      <c r="Z735">
        <v>694</v>
      </c>
      <c r="AA735">
        <v>306</v>
      </c>
    </row>
    <row r="736" spans="1:27" hidden="1">
      <c r="A736">
        <v>38</v>
      </c>
      <c r="B736">
        <v>0</v>
      </c>
      <c r="C736">
        <v>23.50780532598715</v>
      </c>
      <c r="D736">
        <v>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99</v>
      </c>
      <c r="M736">
        <v>31</v>
      </c>
      <c r="N736">
        <v>49</v>
      </c>
      <c r="O736" s="3">
        <v>0.63265306122448983</v>
      </c>
      <c r="P736">
        <v>16</v>
      </c>
      <c r="Q736">
        <v>32.978723404255319</v>
      </c>
      <c r="R736">
        <v>1.0909156599807051</v>
      </c>
      <c r="S736">
        <v>31.270476498656311</v>
      </c>
      <c r="T736">
        <v>5.6921311935286916</v>
      </c>
      <c r="U736">
        <v>3</v>
      </c>
      <c r="V736">
        <v>10</v>
      </c>
      <c r="W736">
        <v>35</v>
      </c>
      <c r="X736">
        <v>3</v>
      </c>
      <c r="Y736">
        <v>2</v>
      </c>
      <c r="Z736">
        <v>235</v>
      </c>
      <c r="AA736">
        <v>141</v>
      </c>
    </row>
    <row r="737" spans="1:27" hidden="1">
      <c r="A737">
        <v>20</v>
      </c>
      <c r="B737">
        <v>0</v>
      </c>
      <c r="C737">
        <v>22.06035379812695</v>
      </c>
      <c r="D737">
        <v>0</v>
      </c>
      <c r="E737">
        <v>1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98</v>
      </c>
      <c r="M737">
        <v>436</v>
      </c>
      <c r="N737">
        <v>120</v>
      </c>
      <c r="O737" s="3">
        <v>3.6333333333333333</v>
      </c>
      <c r="P737">
        <v>37</v>
      </c>
      <c r="Q737">
        <v>75.043029259896727</v>
      </c>
      <c r="R737">
        <v>1.4249086904761901</v>
      </c>
      <c r="S737">
        <v>30.935477979601231</v>
      </c>
      <c r="T737">
        <v>8.9575530627765882</v>
      </c>
      <c r="U737">
        <v>11</v>
      </c>
      <c r="V737">
        <v>23</v>
      </c>
      <c r="W737">
        <v>64</v>
      </c>
      <c r="X737">
        <v>20</v>
      </c>
      <c r="Y737">
        <v>14</v>
      </c>
      <c r="Z737">
        <v>1675</v>
      </c>
      <c r="AA737">
        <v>1094</v>
      </c>
    </row>
    <row r="738" spans="1:27" hidden="1">
      <c r="A738">
        <v>49</v>
      </c>
      <c r="B738">
        <v>1</v>
      </c>
      <c r="C738">
        <v>22.32142857142858</v>
      </c>
      <c r="D738">
        <v>0</v>
      </c>
      <c r="E738">
        <v>1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68</v>
      </c>
      <c r="M738">
        <v>381</v>
      </c>
      <c r="N738">
        <v>429</v>
      </c>
      <c r="O738" s="3">
        <v>0.88811188811188813</v>
      </c>
      <c r="P738">
        <v>47</v>
      </c>
      <c r="Q738">
        <v>30.166270783847981</v>
      </c>
      <c r="R738">
        <v>0.51122541969166058</v>
      </c>
      <c r="S738">
        <v>29.815366611078939</v>
      </c>
      <c r="T738">
        <v>10.145804852014249</v>
      </c>
      <c r="U738">
        <v>5</v>
      </c>
      <c r="V738">
        <v>9</v>
      </c>
      <c r="W738">
        <v>37</v>
      </c>
      <c r="X738">
        <v>4</v>
      </c>
      <c r="Y738">
        <v>3</v>
      </c>
      <c r="Z738">
        <v>1892</v>
      </c>
      <c r="AA738">
        <v>629</v>
      </c>
    </row>
    <row r="739" spans="1:27">
      <c r="A739">
        <v>34</v>
      </c>
      <c r="B739">
        <v>0</v>
      </c>
      <c r="C739">
        <v>17.625380547989099</v>
      </c>
      <c r="D739">
        <v>0</v>
      </c>
      <c r="E739">
        <v>0</v>
      </c>
      <c r="F739">
        <v>1</v>
      </c>
      <c r="G739">
        <v>0</v>
      </c>
      <c r="H739">
        <v>1</v>
      </c>
      <c r="I739">
        <v>0</v>
      </c>
      <c r="J739">
        <v>0</v>
      </c>
      <c r="K739">
        <v>0</v>
      </c>
      <c r="L739">
        <v>115</v>
      </c>
      <c r="M739">
        <v>2977</v>
      </c>
      <c r="N739">
        <v>5367</v>
      </c>
      <c r="O739" s="3">
        <v>0.55468604434507174</v>
      </c>
      <c r="P739">
        <v>135</v>
      </c>
      <c r="Q739">
        <v>21.920329872616151</v>
      </c>
      <c r="R739">
        <v>0.62977181023413253</v>
      </c>
      <c r="S739">
        <v>27.98130870521393</v>
      </c>
      <c r="T739">
        <v>49.188580714285727</v>
      </c>
      <c r="U739">
        <v>15</v>
      </c>
      <c r="V739">
        <v>11</v>
      </c>
      <c r="W739">
        <v>58</v>
      </c>
      <c r="X739">
        <v>31</v>
      </c>
      <c r="Y739">
        <v>26</v>
      </c>
      <c r="Z739">
        <v>16172</v>
      </c>
      <c r="AA739">
        <v>2591</v>
      </c>
    </row>
    <row r="740" spans="1:27">
      <c r="A740">
        <v>32</v>
      </c>
      <c r="B740">
        <v>1</v>
      </c>
      <c r="C740">
        <v>39.792387543252602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71</v>
      </c>
      <c r="M740">
        <v>483</v>
      </c>
      <c r="N740">
        <v>222</v>
      </c>
      <c r="O740" s="3">
        <v>2.1756756756756759</v>
      </c>
      <c r="P740">
        <v>42</v>
      </c>
      <c r="Q740">
        <v>65.893587994542969</v>
      </c>
      <c r="R740">
        <v>0.51352333007030737</v>
      </c>
      <c r="S740">
        <v>30.98217157421124</v>
      </c>
      <c r="T740">
        <v>9.8072404093673136</v>
      </c>
      <c r="U740">
        <v>6</v>
      </c>
      <c r="V740">
        <v>8</v>
      </c>
      <c r="W740">
        <v>39</v>
      </c>
      <c r="X740">
        <v>17</v>
      </c>
      <c r="Y740">
        <v>8</v>
      </c>
      <c r="Z740">
        <v>1940</v>
      </c>
      <c r="AA740">
        <v>1207</v>
      </c>
    </row>
    <row r="741" spans="1:27" hidden="1">
      <c r="A741">
        <v>46</v>
      </c>
      <c r="B741">
        <v>0</v>
      </c>
      <c r="C741">
        <v>26.619343389529721</v>
      </c>
      <c r="D741">
        <v>0</v>
      </c>
      <c r="E741">
        <v>1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70</v>
      </c>
      <c r="M741">
        <v>285</v>
      </c>
      <c r="N741">
        <v>669</v>
      </c>
      <c r="O741" s="3">
        <v>0.42600896860986548</v>
      </c>
      <c r="P741">
        <v>37</v>
      </c>
      <c r="Q741">
        <v>27.804878048780491</v>
      </c>
      <c r="R741">
        <v>0.44078380979443438</v>
      </c>
      <c r="S741">
        <v>31.289995084127199</v>
      </c>
      <c r="T741">
        <v>7.7874938968702851</v>
      </c>
      <c r="U741">
        <v>10</v>
      </c>
      <c r="V741">
        <v>36</v>
      </c>
      <c r="W741">
        <v>78</v>
      </c>
      <c r="X741">
        <v>19</v>
      </c>
      <c r="Y741">
        <v>34</v>
      </c>
      <c r="Z741">
        <v>1296</v>
      </c>
      <c r="AA741">
        <v>271</v>
      </c>
    </row>
    <row r="742" spans="1:27" hidden="1">
      <c r="A742">
        <v>36</v>
      </c>
      <c r="B742">
        <v>0</v>
      </c>
      <c r="C742">
        <v>24.840980089578078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96</v>
      </c>
      <c r="M742">
        <v>132</v>
      </c>
      <c r="N742">
        <v>45</v>
      </c>
      <c r="O742" s="3">
        <v>2.9333333333333331</v>
      </c>
      <c r="P742">
        <v>18</v>
      </c>
      <c r="Q742">
        <v>63.768115942028977</v>
      </c>
      <c r="R742">
        <v>0.63703652679670164</v>
      </c>
      <c r="S742">
        <v>31.852191448243669</v>
      </c>
      <c r="T742">
        <v>5.4022450246554046</v>
      </c>
      <c r="U742">
        <v>8</v>
      </c>
      <c r="V742">
        <v>10</v>
      </c>
      <c r="W742">
        <v>68</v>
      </c>
      <c r="X742">
        <v>11</v>
      </c>
      <c r="Y742">
        <v>14</v>
      </c>
      <c r="Z742">
        <v>399</v>
      </c>
      <c r="AA742">
        <v>192</v>
      </c>
    </row>
    <row r="743" spans="1:27" hidden="1">
      <c r="A743">
        <v>56</v>
      </c>
      <c r="B743">
        <v>0</v>
      </c>
      <c r="C743">
        <v>21.644120707596251</v>
      </c>
      <c r="D743">
        <v>0</v>
      </c>
      <c r="E743">
        <v>1</v>
      </c>
      <c r="F743">
        <v>0</v>
      </c>
      <c r="G743">
        <v>1</v>
      </c>
      <c r="H743">
        <v>1</v>
      </c>
      <c r="I743">
        <v>0</v>
      </c>
      <c r="J743">
        <v>0</v>
      </c>
      <c r="K743">
        <v>0</v>
      </c>
      <c r="L743">
        <v>81</v>
      </c>
      <c r="M743">
        <v>65</v>
      </c>
      <c r="N743">
        <v>160</v>
      </c>
      <c r="O743" s="3">
        <v>0.40625</v>
      </c>
      <c r="P743">
        <v>22</v>
      </c>
      <c r="Q743">
        <v>26.422764227642279</v>
      </c>
      <c r="R743">
        <v>0.35288143440027531</v>
      </c>
      <c r="S743">
        <v>31.066591159433461</v>
      </c>
      <c r="T743">
        <v>5.6340391915514463</v>
      </c>
      <c r="U743">
        <v>7</v>
      </c>
      <c r="V743">
        <v>24</v>
      </c>
      <c r="W743">
        <v>60</v>
      </c>
      <c r="X743">
        <v>17</v>
      </c>
      <c r="Y743">
        <v>7</v>
      </c>
      <c r="Z743">
        <v>483</v>
      </c>
      <c r="AA743">
        <v>237</v>
      </c>
    </row>
    <row r="744" spans="1:27" hidden="1">
      <c r="A744">
        <v>40</v>
      </c>
      <c r="B744">
        <v>0</v>
      </c>
      <c r="C744">
        <v>19.289379267775161</v>
      </c>
      <c r="D744">
        <v>0</v>
      </c>
      <c r="E744">
        <v>1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81</v>
      </c>
      <c r="M744">
        <v>166</v>
      </c>
      <c r="N744">
        <v>285</v>
      </c>
      <c r="O744" s="3">
        <v>0.58245614035087723</v>
      </c>
      <c r="P744">
        <v>30</v>
      </c>
      <c r="Q744">
        <v>31.203007518796991</v>
      </c>
      <c r="R744">
        <v>0.38884235465803457</v>
      </c>
      <c r="S744">
        <v>30.549928692266171</v>
      </c>
      <c r="T744">
        <v>7.8887973827121423</v>
      </c>
      <c r="U744">
        <v>13</v>
      </c>
      <c r="V744">
        <v>47</v>
      </c>
      <c r="W744">
        <v>65</v>
      </c>
      <c r="X744">
        <v>29</v>
      </c>
      <c r="Y744">
        <v>22</v>
      </c>
      <c r="Z744">
        <v>1022</v>
      </c>
      <c r="AA744">
        <v>490</v>
      </c>
    </row>
    <row r="745" spans="1:27" hidden="1">
      <c r="A745">
        <v>30</v>
      </c>
      <c r="B745">
        <v>0</v>
      </c>
      <c r="C745">
        <v>32.847300112161513</v>
      </c>
      <c r="D745">
        <v>0</v>
      </c>
      <c r="E745">
        <v>1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80</v>
      </c>
      <c r="M745">
        <v>572</v>
      </c>
      <c r="N745">
        <v>1388</v>
      </c>
      <c r="O745" s="3">
        <v>0.41210374639769454</v>
      </c>
      <c r="P745">
        <v>50</v>
      </c>
      <c r="Q745">
        <v>27.740058195926281</v>
      </c>
      <c r="R745">
        <v>0.55593681524444061</v>
      </c>
      <c r="S745">
        <v>29.509760382502531</v>
      </c>
      <c r="T745">
        <v>12.81249165525689</v>
      </c>
      <c r="U745">
        <v>16</v>
      </c>
      <c r="V745">
        <v>58</v>
      </c>
      <c r="W745">
        <v>56</v>
      </c>
      <c r="X745">
        <v>7</v>
      </c>
      <c r="Y745">
        <v>31</v>
      </c>
      <c r="Z745">
        <v>2686</v>
      </c>
      <c r="AA745">
        <v>624</v>
      </c>
    </row>
    <row r="746" spans="1:27" hidden="1">
      <c r="A746">
        <v>41</v>
      </c>
      <c r="B746">
        <v>1</v>
      </c>
      <c r="C746">
        <v>26.061679307694881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96</v>
      </c>
      <c r="M746">
        <v>390</v>
      </c>
      <c r="N746">
        <v>363</v>
      </c>
      <c r="O746" s="3">
        <v>1.0743801652892562</v>
      </c>
      <c r="P746">
        <v>37</v>
      </c>
      <c r="Q746">
        <v>35.230352303523027</v>
      </c>
      <c r="R746">
        <v>0.77333177689788213</v>
      </c>
      <c r="S746">
        <v>30.6785177944524</v>
      </c>
      <c r="T746">
        <v>9.3594033088896165</v>
      </c>
      <c r="U746">
        <v>4</v>
      </c>
      <c r="V746">
        <v>11</v>
      </c>
      <c r="W746">
        <v>57</v>
      </c>
      <c r="X746">
        <v>15</v>
      </c>
      <c r="Y746">
        <v>10</v>
      </c>
      <c r="Z746">
        <v>1415</v>
      </c>
      <c r="AA746">
        <v>308</v>
      </c>
    </row>
    <row r="747" spans="1:27">
      <c r="A747">
        <v>38</v>
      </c>
      <c r="B747">
        <v>0</v>
      </c>
      <c r="C747">
        <v>18.961927424152289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91</v>
      </c>
      <c r="M747">
        <v>187</v>
      </c>
      <c r="N747">
        <v>110</v>
      </c>
      <c r="O747" s="4">
        <v>1.7</v>
      </c>
      <c r="P747">
        <v>32</v>
      </c>
      <c r="Q747">
        <v>57.186544342507638</v>
      </c>
      <c r="R747">
        <v>0.53313944890593812</v>
      </c>
      <c r="S747">
        <v>29.966150215690959</v>
      </c>
      <c r="T747">
        <v>7.2046301810188762</v>
      </c>
      <c r="U747">
        <v>4</v>
      </c>
      <c r="V747">
        <v>3</v>
      </c>
      <c r="W747">
        <v>37</v>
      </c>
      <c r="X747">
        <v>29</v>
      </c>
      <c r="Y747">
        <v>9</v>
      </c>
      <c r="Z747">
        <v>1084</v>
      </c>
      <c r="AA747">
        <v>757</v>
      </c>
    </row>
    <row r="748" spans="1:27" hidden="1">
      <c r="A748">
        <v>46</v>
      </c>
      <c r="B748">
        <v>1</v>
      </c>
      <c r="C748">
        <v>32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97</v>
      </c>
      <c r="M748">
        <v>11</v>
      </c>
      <c r="N748">
        <v>4</v>
      </c>
      <c r="O748" s="3">
        <v>2.75</v>
      </c>
      <c r="P748">
        <v>6</v>
      </c>
      <c r="Q748">
        <v>61.111111111111107</v>
      </c>
      <c r="R748">
        <v>0.92667997667701907</v>
      </c>
      <c r="S748">
        <v>31.175143033296148</v>
      </c>
      <c r="T748">
        <v>2.8305918192918189</v>
      </c>
      <c r="U748">
        <v>4</v>
      </c>
      <c r="V748">
        <v>3</v>
      </c>
      <c r="W748">
        <v>51</v>
      </c>
      <c r="X748">
        <v>0</v>
      </c>
      <c r="Y748">
        <v>5</v>
      </c>
      <c r="Z748">
        <v>54</v>
      </c>
      <c r="AA748">
        <v>36</v>
      </c>
    </row>
    <row r="749" spans="1:27">
      <c r="A749">
        <v>43</v>
      </c>
      <c r="B749">
        <v>0</v>
      </c>
      <c r="C749">
        <v>35.156249999999993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78</v>
      </c>
      <c r="M749">
        <v>206</v>
      </c>
      <c r="N749">
        <v>23</v>
      </c>
      <c r="O749" s="3">
        <v>8.9565217391304355</v>
      </c>
      <c r="P749">
        <v>20</v>
      </c>
      <c r="Q749">
        <v>84.426229508196727</v>
      </c>
      <c r="R749">
        <v>0.63129810087667737</v>
      </c>
      <c r="S749">
        <v>30.830354001072891</v>
      </c>
      <c r="T749">
        <v>6.2611509615384602</v>
      </c>
      <c r="U749">
        <v>20</v>
      </c>
      <c r="V749">
        <v>22</v>
      </c>
      <c r="W749">
        <v>64</v>
      </c>
      <c r="X749">
        <v>25</v>
      </c>
      <c r="Y749">
        <v>32</v>
      </c>
      <c r="Z749">
        <v>478</v>
      </c>
      <c r="AA749">
        <v>234</v>
      </c>
    </row>
    <row r="750" spans="1:27">
      <c r="A750">
        <v>32</v>
      </c>
      <c r="B750">
        <v>0</v>
      </c>
      <c r="C750">
        <v>23.23345617689472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78</v>
      </c>
      <c r="M750">
        <v>693</v>
      </c>
      <c r="N750">
        <v>276</v>
      </c>
      <c r="O750" s="3">
        <v>2.5108695652173911</v>
      </c>
      <c r="P750">
        <v>46</v>
      </c>
      <c r="Q750">
        <v>65.937202664129401</v>
      </c>
      <c r="R750">
        <v>0.41845065777366219</v>
      </c>
      <c r="S750">
        <v>31.014618479099209</v>
      </c>
      <c r="T750">
        <v>11.151997176157231</v>
      </c>
      <c r="U750">
        <v>9</v>
      </c>
      <c r="V750">
        <v>9</v>
      </c>
      <c r="W750">
        <v>67</v>
      </c>
      <c r="X750">
        <v>18</v>
      </c>
      <c r="Y750">
        <v>8</v>
      </c>
      <c r="Z750">
        <v>2142</v>
      </c>
      <c r="AA750">
        <v>1091</v>
      </c>
    </row>
    <row r="751" spans="1:27" hidden="1">
      <c r="A751">
        <v>30</v>
      </c>
      <c r="B751">
        <v>1</v>
      </c>
      <c r="C751">
        <v>28.703703703703699</v>
      </c>
      <c r="D751">
        <v>0</v>
      </c>
      <c r="E751">
        <v>1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86</v>
      </c>
      <c r="M751">
        <v>966</v>
      </c>
      <c r="N751">
        <v>194</v>
      </c>
      <c r="O751" s="3">
        <v>4.9793814432989691</v>
      </c>
      <c r="P751">
        <v>47</v>
      </c>
      <c r="Q751">
        <v>80.299251870324184</v>
      </c>
      <c r="R751">
        <v>1.1504184360515259</v>
      </c>
      <c r="S751">
        <v>30.41553269484103</v>
      </c>
      <c r="T751">
        <v>10.46498826460045</v>
      </c>
      <c r="U751">
        <v>12</v>
      </c>
      <c r="V751">
        <v>29</v>
      </c>
      <c r="W751">
        <v>41</v>
      </c>
      <c r="X751">
        <v>8</v>
      </c>
      <c r="Y751">
        <v>19</v>
      </c>
      <c r="Z751">
        <v>2523</v>
      </c>
      <c r="AA751">
        <v>1320</v>
      </c>
    </row>
    <row r="752" spans="1:27" hidden="1">
      <c r="A752">
        <v>39</v>
      </c>
      <c r="B752">
        <v>0</v>
      </c>
      <c r="C752">
        <v>19.111111111111111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74</v>
      </c>
      <c r="M752">
        <v>783</v>
      </c>
      <c r="N752">
        <v>410</v>
      </c>
      <c r="O752" s="3">
        <v>1.9097560975609755</v>
      </c>
      <c r="P752">
        <v>52</v>
      </c>
      <c r="Q752">
        <v>58</v>
      </c>
      <c r="R752">
        <v>0.56123272521400425</v>
      </c>
      <c r="S752">
        <v>31.100900725286738</v>
      </c>
      <c r="T752">
        <v>10.06298249829676</v>
      </c>
      <c r="U752">
        <v>9</v>
      </c>
      <c r="V752">
        <v>25</v>
      </c>
      <c r="W752">
        <v>72</v>
      </c>
      <c r="X752">
        <v>10</v>
      </c>
      <c r="Y752">
        <v>7</v>
      </c>
      <c r="Z752">
        <v>2955</v>
      </c>
      <c r="AA752">
        <v>1605</v>
      </c>
    </row>
    <row r="753" spans="1:27" hidden="1">
      <c r="A753">
        <v>41</v>
      </c>
      <c r="B753">
        <v>0</v>
      </c>
      <c r="C753">
        <v>21.641274238227151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67</v>
      </c>
      <c r="M753">
        <v>391</v>
      </c>
      <c r="N753">
        <v>169</v>
      </c>
      <c r="O753" s="3">
        <v>2.3136094674556213</v>
      </c>
      <c r="P753">
        <v>30</v>
      </c>
      <c r="Q753">
        <v>64.628099173553721</v>
      </c>
      <c r="R753">
        <v>0.45768904667641441</v>
      </c>
      <c r="S753">
        <v>29.683787713703069</v>
      </c>
      <c r="T753">
        <v>7.511074548969547</v>
      </c>
      <c r="U753">
        <v>7</v>
      </c>
      <c r="V753">
        <v>15</v>
      </c>
      <c r="W753">
        <v>40</v>
      </c>
      <c r="X753">
        <v>11</v>
      </c>
      <c r="Y753">
        <v>6</v>
      </c>
      <c r="Z753">
        <v>988</v>
      </c>
      <c r="AA753">
        <v>383</v>
      </c>
    </row>
    <row r="754" spans="1:27" hidden="1">
      <c r="A754">
        <v>26</v>
      </c>
      <c r="B754">
        <v>0</v>
      </c>
      <c r="C754">
        <v>18.51780409706415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68</v>
      </c>
      <c r="M754">
        <v>160</v>
      </c>
      <c r="N754">
        <v>276</v>
      </c>
      <c r="O754" s="3">
        <v>0.57971014492753625</v>
      </c>
      <c r="P754">
        <v>31</v>
      </c>
      <c r="Q754">
        <v>33.613445378151262</v>
      </c>
      <c r="R754">
        <v>0.81937394004068465</v>
      </c>
      <c r="S754">
        <v>30.59951984251266</v>
      </c>
      <c r="T754">
        <v>8.6373390266650567</v>
      </c>
      <c r="U754">
        <v>1</v>
      </c>
      <c r="V754">
        <v>4</v>
      </c>
      <c r="W754">
        <v>34</v>
      </c>
      <c r="X754">
        <v>6</v>
      </c>
      <c r="Y754">
        <v>2</v>
      </c>
      <c r="Z754">
        <v>932</v>
      </c>
      <c r="AA754">
        <v>456</v>
      </c>
    </row>
    <row r="755" spans="1:27" hidden="1">
      <c r="A755">
        <v>28</v>
      </c>
      <c r="B755">
        <v>0</v>
      </c>
      <c r="C755">
        <v>23.309053069719042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92</v>
      </c>
      <c r="M755">
        <v>201</v>
      </c>
      <c r="N755">
        <v>221</v>
      </c>
      <c r="O755" s="3">
        <v>0.9095022624434389</v>
      </c>
      <c r="P755">
        <v>24</v>
      </c>
      <c r="Q755">
        <v>43.133047210300433</v>
      </c>
      <c r="R755">
        <v>1.0216499490586739</v>
      </c>
      <c r="S755">
        <v>31.640160052824299</v>
      </c>
      <c r="T755">
        <v>7.7760560368723226</v>
      </c>
      <c r="U755">
        <v>6</v>
      </c>
      <c r="V755">
        <v>10</v>
      </c>
      <c r="W755">
        <v>58</v>
      </c>
      <c r="X755">
        <v>1</v>
      </c>
      <c r="Y755">
        <v>2</v>
      </c>
      <c r="Z755">
        <v>585</v>
      </c>
      <c r="AA755">
        <v>119</v>
      </c>
    </row>
    <row r="756" spans="1:27">
      <c r="A756">
        <v>34</v>
      </c>
      <c r="B756">
        <v>0</v>
      </c>
      <c r="C756">
        <v>40.269559500328732</v>
      </c>
      <c r="D756">
        <v>0</v>
      </c>
      <c r="E756">
        <v>1</v>
      </c>
      <c r="F756">
        <v>1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111</v>
      </c>
      <c r="M756">
        <v>39</v>
      </c>
      <c r="N756">
        <v>7</v>
      </c>
      <c r="O756" s="3">
        <v>5.5714285714285712</v>
      </c>
      <c r="P756">
        <v>11</v>
      </c>
      <c r="Q756">
        <v>68.421052631578945</v>
      </c>
      <c r="R756">
        <v>1.954886930067365</v>
      </c>
      <c r="S756">
        <v>32.040795869190148</v>
      </c>
      <c r="T756">
        <v>4.3426909782608671</v>
      </c>
      <c r="U756">
        <v>18</v>
      </c>
      <c r="V756">
        <v>31</v>
      </c>
      <c r="W756">
        <v>93</v>
      </c>
      <c r="X756">
        <v>40</v>
      </c>
      <c r="Y756">
        <v>36</v>
      </c>
      <c r="Z756">
        <v>148</v>
      </c>
      <c r="AA756">
        <v>91</v>
      </c>
    </row>
    <row r="757" spans="1:27" hidden="1">
      <c r="A757">
        <v>55</v>
      </c>
      <c r="B757">
        <v>0</v>
      </c>
      <c r="C757">
        <v>22.959087658549439</v>
      </c>
      <c r="D757">
        <v>0</v>
      </c>
      <c r="E757">
        <v>1</v>
      </c>
      <c r="F757">
        <v>0</v>
      </c>
      <c r="G757">
        <v>1</v>
      </c>
      <c r="H757">
        <v>1</v>
      </c>
      <c r="I757">
        <v>0</v>
      </c>
      <c r="J757">
        <v>0</v>
      </c>
      <c r="K757">
        <v>0</v>
      </c>
      <c r="L757">
        <v>96</v>
      </c>
      <c r="M757">
        <v>32</v>
      </c>
      <c r="N757">
        <v>16</v>
      </c>
      <c r="O757" s="3">
        <v>2</v>
      </c>
      <c r="P757">
        <v>11</v>
      </c>
      <c r="Q757">
        <v>59.25925925925926</v>
      </c>
      <c r="R757">
        <v>0.56011322913756023</v>
      </c>
      <c r="S757">
        <v>31.804689325665279</v>
      </c>
      <c r="T757">
        <v>4.1025346780670802</v>
      </c>
      <c r="U757">
        <v>9</v>
      </c>
      <c r="V757">
        <v>16</v>
      </c>
      <c r="W757">
        <v>54</v>
      </c>
      <c r="X757">
        <v>8</v>
      </c>
      <c r="Y757">
        <v>16</v>
      </c>
      <c r="Z757">
        <v>130</v>
      </c>
      <c r="AA757">
        <v>76</v>
      </c>
    </row>
    <row r="758" spans="1:27" hidden="1">
      <c r="A758">
        <v>25</v>
      </c>
      <c r="B758">
        <v>0</v>
      </c>
      <c r="C758">
        <v>21.875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95</v>
      </c>
      <c r="M758">
        <v>177</v>
      </c>
      <c r="N758">
        <v>35</v>
      </c>
      <c r="O758" s="3">
        <v>5.0571428571428569</v>
      </c>
      <c r="P758">
        <v>18</v>
      </c>
      <c r="Q758">
        <v>75.641025641025635</v>
      </c>
      <c r="R758">
        <v>1.4434958841975021</v>
      </c>
      <c r="S758">
        <v>31.837436738931881</v>
      </c>
      <c r="T758">
        <v>6.2678468217893188</v>
      </c>
      <c r="U758">
        <v>7</v>
      </c>
      <c r="V758">
        <v>14</v>
      </c>
      <c r="W758">
        <v>73</v>
      </c>
      <c r="X758">
        <v>2</v>
      </c>
      <c r="Y758">
        <v>4</v>
      </c>
      <c r="Z758">
        <v>419</v>
      </c>
      <c r="AA758">
        <v>185</v>
      </c>
    </row>
    <row r="759" spans="1:27" hidden="1">
      <c r="A759">
        <v>33</v>
      </c>
      <c r="B759">
        <v>1</v>
      </c>
      <c r="C759">
        <v>24.11150746465847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75</v>
      </c>
      <c r="M759">
        <v>994</v>
      </c>
      <c r="N759">
        <v>262</v>
      </c>
      <c r="O759" s="3">
        <v>3.7938931297709924</v>
      </c>
      <c r="P759">
        <v>46</v>
      </c>
      <c r="Q759">
        <v>74.736842105263165</v>
      </c>
      <c r="R759">
        <v>0.91103440961558735</v>
      </c>
      <c r="S759">
        <v>28.226681931521188</v>
      </c>
      <c r="T759">
        <v>10.73055117247706</v>
      </c>
      <c r="U759">
        <v>8</v>
      </c>
      <c r="V759">
        <v>4</v>
      </c>
      <c r="W759">
        <v>39</v>
      </c>
      <c r="X759">
        <v>11</v>
      </c>
      <c r="Y759">
        <v>6</v>
      </c>
      <c r="Z759">
        <v>2205</v>
      </c>
      <c r="AA759">
        <v>875</v>
      </c>
    </row>
    <row r="760" spans="1:27" hidden="1">
      <c r="A760">
        <v>46</v>
      </c>
      <c r="B760">
        <v>1</v>
      </c>
      <c r="C760">
        <v>29.0547520661157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79</v>
      </c>
      <c r="M760">
        <v>230</v>
      </c>
      <c r="N760">
        <v>70</v>
      </c>
      <c r="O760" s="3">
        <v>3.2857142857142856</v>
      </c>
      <c r="P760">
        <v>26</v>
      </c>
      <c r="Q760">
        <v>72.555205047318609</v>
      </c>
      <c r="R760">
        <v>1.602154044313014</v>
      </c>
      <c r="S760">
        <v>31.323184621427149</v>
      </c>
      <c r="T760">
        <v>6.3448741375239841</v>
      </c>
      <c r="U760">
        <v>2</v>
      </c>
      <c r="V760">
        <v>5</v>
      </c>
      <c r="W760">
        <v>28</v>
      </c>
      <c r="X760">
        <v>3</v>
      </c>
      <c r="Y760">
        <v>0</v>
      </c>
      <c r="Z760">
        <v>709</v>
      </c>
      <c r="AA760">
        <v>392</v>
      </c>
    </row>
    <row r="761" spans="1:27" hidden="1">
      <c r="A761">
        <v>37</v>
      </c>
      <c r="B761">
        <v>0</v>
      </c>
      <c r="C761">
        <v>32.893294153765183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85</v>
      </c>
      <c r="M761">
        <v>126</v>
      </c>
      <c r="N761">
        <v>261</v>
      </c>
      <c r="O761" s="3">
        <v>0.48275862068965519</v>
      </c>
      <c r="P761">
        <v>30</v>
      </c>
      <c r="Q761">
        <v>29.4392523364486</v>
      </c>
      <c r="R761">
        <v>1.0060662610345239</v>
      </c>
      <c r="S761">
        <v>31.241721771192719</v>
      </c>
      <c r="T761">
        <v>8.2156672050712629</v>
      </c>
      <c r="U761">
        <v>3</v>
      </c>
      <c r="V761">
        <v>3</v>
      </c>
      <c r="W761">
        <v>56</v>
      </c>
      <c r="X761">
        <v>2</v>
      </c>
      <c r="Y761">
        <v>1</v>
      </c>
      <c r="Z761">
        <v>952</v>
      </c>
      <c r="AA761">
        <v>524</v>
      </c>
    </row>
    <row r="762" spans="1:27">
      <c r="A762">
        <v>49</v>
      </c>
      <c r="B762">
        <v>0</v>
      </c>
      <c r="C762">
        <v>27.358845456721731</v>
      </c>
      <c r="D762">
        <v>0</v>
      </c>
      <c r="E762">
        <v>1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95</v>
      </c>
      <c r="M762">
        <v>35</v>
      </c>
      <c r="N762">
        <v>22</v>
      </c>
      <c r="O762" s="3">
        <v>1.5909090909090908</v>
      </c>
      <c r="P762">
        <v>12</v>
      </c>
      <c r="Q762">
        <v>57.377049180327873</v>
      </c>
      <c r="R762">
        <v>0.63847782717507884</v>
      </c>
      <c r="S762">
        <v>32.142833054885394</v>
      </c>
      <c r="T762">
        <v>4.4418070264502516</v>
      </c>
      <c r="U762">
        <v>8</v>
      </c>
      <c r="V762">
        <v>32</v>
      </c>
      <c r="W762">
        <v>77</v>
      </c>
      <c r="X762">
        <v>30</v>
      </c>
      <c r="Y762">
        <v>34</v>
      </c>
      <c r="Z762">
        <v>215</v>
      </c>
      <c r="AA762">
        <v>154</v>
      </c>
    </row>
    <row r="763" spans="1:27" hidden="1">
      <c r="A763">
        <v>48</v>
      </c>
      <c r="B763">
        <v>0</v>
      </c>
      <c r="C763">
        <v>32.847300112161513</v>
      </c>
      <c r="D763">
        <v>0</v>
      </c>
      <c r="E763">
        <v>1</v>
      </c>
      <c r="F763">
        <v>0</v>
      </c>
      <c r="G763">
        <v>0</v>
      </c>
      <c r="H763">
        <v>1</v>
      </c>
      <c r="I763">
        <v>0</v>
      </c>
      <c r="J763">
        <v>0</v>
      </c>
      <c r="K763">
        <v>0</v>
      </c>
      <c r="L763">
        <v>62</v>
      </c>
      <c r="M763">
        <v>168</v>
      </c>
      <c r="N763">
        <v>370</v>
      </c>
      <c r="O763" s="3">
        <v>0.45405405405405408</v>
      </c>
      <c r="P763">
        <v>36</v>
      </c>
      <c r="Q763">
        <v>27.76859504132231</v>
      </c>
      <c r="R763">
        <v>0.66970255130415113</v>
      </c>
      <c r="S763">
        <v>30.35256657190213</v>
      </c>
      <c r="T763">
        <v>6.8341679701215172</v>
      </c>
      <c r="U763">
        <v>10</v>
      </c>
      <c r="V763">
        <v>16</v>
      </c>
      <c r="W763">
        <v>60</v>
      </c>
      <c r="X763">
        <v>5</v>
      </c>
      <c r="Y763">
        <v>17</v>
      </c>
      <c r="Z763">
        <v>1169</v>
      </c>
      <c r="AA763">
        <v>564</v>
      </c>
    </row>
    <row r="764" spans="1:27" hidden="1">
      <c r="A764">
        <v>31</v>
      </c>
      <c r="B764">
        <v>1</v>
      </c>
      <c r="C764">
        <v>29.714285714285719</v>
      </c>
      <c r="D764">
        <v>0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89</v>
      </c>
      <c r="M764">
        <v>855</v>
      </c>
      <c r="N764">
        <v>320</v>
      </c>
      <c r="O764" s="3">
        <v>2.671875</v>
      </c>
      <c r="P764">
        <v>42</v>
      </c>
      <c r="Q764">
        <v>67.216981132075475</v>
      </c>
      <c r="R764">
        <v>0.75723109378149855</v>
      </c>
      <c r="S764">
        <v>27.55538256037768</v>
      </c>
      <c r="T764">
        <v>11.201596811948439</v>
      </c>
      <c r="U764">
        <v>8</v>
      </c>
      <c r="V764">
        <v>22</v>
      </c>
      <c r="W764">
        <v>32</v>
      </c>
      <c r="X764">
        <v>8</v>
      </c>
      <c r="Y764">
        <v>10</v>
      </c>
      <c r="Z764">
        <v>2018</v>
      </c>
      <c r="AA764">
        <v>746</v>
      </c>
    </row>
    <row r="765" spans="1:27" hidden="1">
      <c r="A765">
        <v>57</v>
      </c>
      <c r="B765">
        <v>0</v>
      </c>
      <c r="C765">
        <v>18.289894833104711</v>
      </c>
      <c r="D765">
        <v>0</v>
      </c>
      <c r="E765">
        <v>1</v>
      </c>
      <c r="F765">
        <v>0</v>
      </c>
      <c r="G765">
        <v>1</v>
      </c>
      <c r="H765">
        <v>1</v>
      </c>
      <c r="I765">
        <v>0</v>
      </c>
      <c r="J765">
        <v>0</v>
      </c>
      <c r="K765">
        <v>0</v>
      </c>
      <c r="L765">
        <v>71</v>
      </c>
      <c r="M765">
        <v>225</v>
      </c>
      <c r="N765">
        <v>313</v>
      </c>
      <c r="O765" s="3">
        <v>0.71884984025559107</v>
      </c>
      <c r="P765">
        <v>40</v>
      </c>
      <c r="Q765">
        <v>32.281205164992834</v>
      </c>
      <c r="R765">
        <v>0.4595524169422403</v>
      </c>
      <c r="S765">
        <v>29.75811381961719</v>
      </c>
      <c r="T765">
        <v>8.402310376241406</v>
      </c>
      <c r="U765">
        <v>14</v>
      </c>
      <c r="V765">
        <v>19</v>
      </c>
      <c r="W765">
        <v>41</v>
      </c>
      <c r="X765">
        <v>21</v>
      </c>
      <c r="Y765">
        <v>27</v>
      </c>
      <c r="Z765">
        <v>1489</v>
      </c>
      <c r="AA765">
        <v>792</v>
      </c>
    </row>
    <row r="766" spans="1:27" hidden="1">
      <c r="A766">
        <v>29</v>
      </c>
      <c r="B766">
        <v>0</v>
      </c>
      <c r="C766">
        <v>18.81892431028643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80</v>
      </c>
      <c r="M766">
        <v>622</v>
      </c>
      <c r="N766">
        <v>391</v>
      </c>
      <c r="O766" s="3">
        <v>1.5907928388746804</v>
      </c>
      <c r="P766">
        <v>38</v>
      </c>
      <c r="Q766">
        <v>52.445193929173691</v>
      </c>
      <c r="R766">
        <v>1.024069862140198</v>
      </c>
      <c r="S766">
        <v>29.809432318134959</v>
      </c>
      <c r="T766">
        <v>9.9923472550216665</v>
      </c>
      <c r="U766">
        <v>4</v>
      </c>
      <c r="V766">
        <v>12</v>
      </c>
      <c r="W766">
        <v>44</v>
      </c>
      <c r="X766">
        <v>3</v>
      </c>
      <c r="Y766">
        <v>5</v>
      </c>
      <c r="Z766">
        <v>1391</v>
      </c>
      <c r="AA766">
        <v>205</v>
      </c>
    </row>
    <row r="767" spans="1:27" hidden="1">
      <c r="A767">
        <v>53</v>
      </c>
      <c r="B767">
        <v>1</v>
      </c>
      <c r="C767">
        <v>25.390625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90</v>
      </c>
      <c r="M767">
        <v>209</v>
      </c>
      <c r="N767">
        <v>91</v>
      </c>
      <c r="O767" s="3">
        <v>2.2967032967032965</v>
      </c>
      <c r="P767">
        <v>26</v>
      </c>
      <c r="Q767">
        <v>68.078175895765469</v>
      </c>
      <c r="R767">
        <v>1.0404767067723451</v>
      </c>
      <c r="S767">
        <v>31.148113270547519</v>
      </c>
      <c r="T767">
        <v>6.2578239332399619</v>
      </c>
      <c r="U767">
        <v>2</v>
      </c>
      <c r="V767">
        <v>11</v>
      </c>
      <c r="W767">
        <v>33</v>
      </c>
      <c r="X767">
        <v>2</v>
      </c>
      <c r="Y767">
        <v>3</v>
      </c>
      <c r="Z767">
        <v>726</v>
      </c>
      <c r="AA767">
        <v>419</v>
      </c>
    </row>
    <row r="768" spans="1:27" hidden="1">
      <c r="A768">
        <v>50</v>
      </c>
      <c r="B768">
        <v>1</v>
      </c>
      <c r="C768">
        <v>26.277285078682549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65</v>
      </c>
      <c r="M768">
        <v>290</v>
      </c>
      <c r="N768">
        <v>78</v>
      </c>
      <c r="O768" s="3">
        <v>3.7179487179487181</v>
      </c>
      <c r="P768">
        <v>43</v>
      </c>
      <c r="Q768">
        <v>73.047858942065488</v>
      </c>
      <c r="R768">
        <v>0.64111368332457164</v>
      </c>
      <c r="S768">
        <v>30.70496424909097</v>
      </c>
      <c r="T768">
        <v>7.7360489784615014</v>
      </c>
      <c r="U768">
        <v>3</v>
      </c>
      <c r="V768">
        <v>17</v>
      </c>
      <c r="W768">
        <v>58</v>
      </c>
      <c r="X768">
        <v>6</v>
      </c>
      <c r="Y768">
        <v>3</v>
      </c>
      <c r="Z768">
        <v>1860</v>
      </c>
      <c r="AA768">
        <v>1463</v>
      </c>
    </row>
    <row r="769" spans="1:27" hidden="1">
      <c r="A769">
        <v>49</v>
      </c>
      <c r="B769">
        <v>1</v>
      </c>
      <c r="C769">
        <v>26.493025631204311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73</v>
      </c>
      <c r="M769">
        <v>119</v>
      </c>
      <c r="N769">
        <v>58</v>
      </c>
      <c r="O769" s="3">
        <v>2.0517241379310347</v>
      </c>
      <c r="P769">
        <v>22</v>
      </c>
      <c r="Q769">
        <v>61.979166666666657</v>
      </c>
      <c r="R769">
        <v>0.64554060886231701</v>
      </c>
      <c r="S769">
        <v>31.1410935889025</v>
      </c>
      <c r="T769">
        <v>5.8101278025901273</v>
      </c>
      <c r="U769">
        <v>0</v>
      </c>
      <c r="V769">
        <v>3</v>
      </c>
      <c r="W769">
        <v>35</v>
      </c>
      <c r="X769">
        <v>5</v>
      </c>
      <c r="Y769">
        <v>0</v>
      </c>
      <c r="Z769">
        <v>511</v>
      </c>
      <c r="AA769">
        <v>319</v>
      </c>
    </row>
    <row r="770" spans="1:27" hidden="1">
      <c r="A770">
        <v>64</v>
      </c>
      <c r="B770">
        <v>1</v>
      </c>
      <c r="C770">
        <v>26.997245179063359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79</v>
      </c>
      <c r="M770">
        <v>318</v>
      </c>
      <c r="N770">
        <v>39</v>
      </c>
      <c r="O770" s="3">
        <v>8.1538461538461533</v>
      </c>
      <c r="P770">
        <v>30</v>
      </c>
      <c r="Q770">
        <v>85.945945945945951</v>
      </c>
      <c r="R770">
        <v>0.7962621284115744</v>
      </c>
      <c r="S770">
        <v>30.995867574971211</v>
      </c>
      <c r="T770">
        <v>6.0833570238095263</v>
      </c>
      <c r="U770">
        <v>4</v>
      </c>
      <c r="V770">
        <v>15</v>
      </c>
      <c r="W770">
        <v>15</v>
      </c>
      <c r="X770">
        <v>4</v>
      </c>
      <c r="Y770">
        <v>3</v>
      </c>
      <c r="Z770">
        <v>924</v>
      </c>
      <c r="AA770">
        <v>554</v>
      </c>
    </row>
    <row r="771" spans="1:27" hidden="1">
      <c r="A771">
        <v>55</v>
      </c>
      <c r="B771">
        <v>1</v>
      </c>
      <c r="C771">
        <v>22.582709172343709</v>
      </c>
      <c r="D771">
        <v>0</v>
      </c>
      <c r="E771">
        <v>1</v>
      </c>
      <c r="F771">
        <v>0</v>
      </c>
      <c r="G771">
        <v>1</v>
      </c>
      <c r="H771">
        <v>1</v>
      </c>
      <c r="I771">
        <v>0</v>
      </c>
      <c r="J771">
        <v>0</v>
      </c>
      <c r="K771">
        <v>0</v>
      </c>
      <c r="L771">
        <v>83</v>
      </c>
      <c r="M771">
        <v>212</v>
      </c>
      <c r="N771">
        <v>124</v>
      </c>
      <c r="O771" s="3">
        <v>1.7096774193548387</v>
      </c>
      <c r="P771">
        <v>22</v>
      </c>
      <c r="Q771">
        <v>57.923497267759558</v>
      </c>
      <c r="R771">
        <v>0.42074883479614977</v>
      </c>
      <c r="S771">
        <v>31.1467730121885</v>
      </c>
      <c r="T771">
        <v>6.2338544034886709</v>
      </c>
      <c r="U771">
        <v>13</v>
      </c>
      <c r="V771">
        <v>29</v>
      </c>
      <c r="W771">
        <v>55</v>
      </c>
      <c r="X771">
        <v>30</v>
      </c>
      <c r="Y771">
        <v>26</v>
      </c>
      <c r="Z771">
        <v>538</v>
      </c>
      <c r="AA771">
        <v>172</v>
      </c>
    </row>
    <row r="772" spans="1:27" hidden="1">
      <c r="A772">
        <v>35</v>
      </c>
      <c r="B772">
        <v>1</v>
      </c>
      <c r="C772">
        <v>23.388686558187711</v>
      </c>
      <c r="D772">
        <v>0</v>
      </c>
      <c r="E772">
        <v>1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86</v>
      </c>
      <c r="M772">
        <v>242</v>
      </c>
      <c r="N772">
        <v>197</v>
      </c>
      <c r="O772" s="3">
        <v>1.2284263959390862</v>
      </c>
      <c r="P772">
        <v>37</v>
      </c>
      <c r="Q772">
        <v>51.054852320675103</v>
      </c>
      <c r="R772">
        <v>0.536338538400011</v>
      </c>
      <c r="S772">
        <v>29.07464178359529</v>
      </c>
      <c r="T772">
        <v>7.2918216622661838</v>
      </c>
      <c r="U772">
        <v>17</v>
      </c>
      <c r="V772">
        <v>24</v>
      </c>
      <c r="W772">
        <v>41</v>
      </c>
      <c r="X772">
        <v>25</v>
      </c>
      <c r="Y772">
        <v>24</v>
      </c>
      <c r="Z772">
        <v>1337</v>
      </c>
      <c r="AA772">
        <v>863</v>
      </c>
    </row>
    <row r="773" spans="1:27" hidden="1">
      <c r="A773">
        <v>63</v>
      </c>
      <c r="B773">
        <v>0</v>
      </c>
      <c r="C773">
        <v>20.964360587002091</v>
      </c>
      <c r="D773">
        <v>0</v>
      </c>
      <c r="E773">
        <v>1</v>
      </c>
      <c r="F773">
        <v>0</v>
      </c>
      <c r="G773">
        <v>1</v>
      </c>
      <c r="H773">
        <v>1</v>
      </c>
      <c r="I773">
        <v>0</v>
      </c>
      <c r="J773">
        <v>0</v>
      </c>
      <c r="K773">
        <v>0</v>
      </c>
      <c r="L773">
        <v>64</v>
      </c>
      <c r="M773">
        <v>1170</v>
      </c>
      <c r="N773">
        <v>403</v>
      </c>
      <c r="O773" s="3">
        <v>2.903225806451613</v>
      </c>
      <c r="P773">
        <v>47</v>
      </c>
      <c r="Q773">
        <v>72</v>
      </c>
      <c r="R773">
        <v>0.98621461432427471</v>
      </c>
      <c r="S773">
        <v>28.750689902294379</v>
      </c>
      <c r="T773">
        <v>8.5583276783072311</v>
      </c>
      <c r="U773">
        <v>11</v>
      </c>
      <c r="V773">
        <v>27</v>
      </c>
      <c r="W773">
        <v>63</v>
      </c>
      <c r="X773">
        <v>31</v>
      </c>
      <c r="Y773">
        <v>32</v>
      </c>
      <c r="Z773">
        <v>2242</v>
      </c>
      <c r="AA773">
        <v>617</v>
      </c>
    </row>
    <row r="774" spans="1:27" hidden="1">
      <c r="A774">
        <v>41</v>
      </c>
      <c r="B774">
        <v>1</v>
      </c>
      <c r="C774">
        <v>26.171875</v>
      </c>
      <c r="D774">
        <v>0</v>
      </c>
      <c r="E774">
        <v>1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76</v>
      </c>
      <c r="M774">
        <v>142</v>
      </c>
      <c r="N774">
        <v>79</v>
      </c>
      <c r="O774" s="3">
        <v>1.7974683544303798</v>
      </c>
      <c r="P774">
        <v>23</v>
      </c>
      <c r="Q774">
        <v>59.663865546218489</v>
      </c>
      <c r="R774">
        <v>0.42327133223527752</v>
      </c>
      <c r="S774">
        <v>31.210488448880842</v>
      </c>
      <c r="T774">
        <v>6.1654912458298954</v>
      </c>
      <c r="U774">
        <v>9</v>
      </c>
      <c r="V774">
        <v>12</v>
      </c>
      <c r="W774">
        <v>63</v>
      </c>
      <c r="X774">
        <v>13</v>
      </c>
      <c r="Y774">
        <v>7</v>
      </c>
      <c r="Z774">
        <v>579</v>
      </c>
      <c r="AA774">
        <v>341</v>
      </c>
    </row>
    <row r="775" spans="1:27" hidden="1">
      <c r="A775">
        <v>67</v>
      </c>
      <c r="B775">
        <v>1</v>
      </c>
      <c r="C775">
        <v>23.588329220496441</v>
      </c>
      <c r="D775"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87</v>
      </c>
      <c r="M775">
        <v>70</v>
      </c>
      <c r="N775">
        <v>18</v>
      </c>
      <c r="O775" s="3">
        <v>3.8888888888888888</v>
      </c>
      <c r="P775">
        <v>15</v>
      </c>
      <c r="Q775">
        <v>74.468085106382972</v>
      </c>
      <c r="R775">
        <v>1.796179229587668</v>
      </c>
      <c r="S775">
        <v>31.645108962464239</v>
      </c>
      <c r="T775">
        <v>5.5743928901653907</v>
      </c>
      <c r="U775">
        <v>1</v>
      </c>
      <c r="V775">
        <v>8</v>
      </c>
      <c r="W775">
        <v>67</v>
      </c>
      <c r="X775">
        <v>4</v>
      </c>
      <c r="Y775">
        <v>2</v>
      </c>
      <c r="Z775">
        <v>238</v>
      </c>
      <c r="AA775">
        <v>144</v>
      </c>
    </row>
    <row r="776" spans="1:27" hidden="1">
      <c r="A776">
        <v>65</v>
      </c>
      <c r="B776">
        <v>0</v>
      </c>
      <c r="C776">
        <v>23.1246703720232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54</v>
      </c>
      <c r="M776">
        <v>144</v>
      </c>
      <c r="N776">
        <v>437</v>
      </c>
      <c r="O776" s="3">
        <v>0.32951945080091533</v>
      </c>
      <c r="P776">
        <v>44</v>
      </c>
      <c r="Q776">
        <v>22.570532915360499</v>
      </c>
      <c r="R776">
        <v>1.8144770968908119</v>
      </c>
      <c r="S776">
        <v>29.480678044040449</v>
      </c>
      <c r="T776">
        <v>7.404653941798939</v>
      </c>
      <c r="U776">
        <v>5</v>
      </c>
      <c r="V776">
        <v>10</v>
      </c>
      <c r="W776">
        <v>86</v>
      </c>
      <c r="X776">
        <v>6</v>
      </c>
      <c r="Y776">
        <v>1</v>
      </c>
      <c r="Z776">
        <v>1845</v>
      </c>
      <c r="AA776">
        <v>1207</v>
      </c>
    </row>
    <row r="777" spans="1:27" hidden="1">
      <c r="A777">
        <v>43</v>
      </c>
      <c r="B777">
        <v>1</v>
      </c>
      <c r="C777">
        <v>25.249337204898371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78</v>
      </c>
      <c r="M777">
        <v>286</v>
      </c>
      <c r="N777">
        <v>336</v>
      </c>
      <c r="O777" s="3">
        <v>0.85119047619047616</v>
      </c>
      <c r="P777">
        <v>38</v>
      </c>
      <c r="Q777">
        <v>36.065573770491802</v>
      </c>
      <c r="R777">
        <v>0.47305046248463362</v>
      </c>
      <c r="S777">
        <v>29.310120023378811</v>
      </c>
      <c r="T777">
        <v>8.770716945019279</v>
      </c>
      <c r="U777">
        <v>4</v>
      </c>
      <c r="V777">
        <v>7</v>
      </c>
      <c r="W777">
        <v>58</v>
      </c>
      <c r="X777">
        <v>5</v>
      </c>
      <c r="Y777">
        <v>2</v>
      </c>
      <c r="Z777">
        <v>1424</v>
      </c>
      <c r="AA777">
        <v>631</v>
      </c>
    </row>
    <row r="778" spans="1:27" hidden="1">
      <c r="A778">
        <v>61</v>
      </c>
      <c r="B778">
        <v>1</v>
      </c>
      <c r="C778">
        <v>18.92915089237426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76</v>
      </c>
      <c r="M778">
        <v>10</v>
      </c>
      <c r="N778">
        <v>47</v>
      </c>
      <c r="O778" s="3">
        <v>0.21276595744680851</v>
      </c>
      <c r="P778">
        <v>12</v>
      </c>
      <c r="Q778">
        <v>13.33333333333333</v>
      </c>
      <c r="R778">
        <v>0.38859822829995161</v>
      </c>
      <c r="S778">
        <v>30.806245391706302</v>
      </c>
      <c r="T778">
        <v>4.4667005145633079</v>
      </c>
      <c r="U778">
        <v>11</v>
      </c>
      <c r="V778">
        <v>23</v>
      </c>
      <c r="W778">
        <v>74</v>
      </c>
      <c r="X778">
        <v>16</v>
      </c>
      <c r="Y778">
        <v>9</v>
      </c>
      <c r="Z778">
        <v>154</v>
      </c>
      <c r="AA778">
        <v>79</v>
      </c>
    </row>
    <row r="779" spans="1:27" hidden="1">
      <c r="A779">
        <v>41</v>
      </c>
      <c r="B779">
        <v>1</v>
      </c>
      <c r="C779">
        <v>26.36560302866415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74</v>
      </c>
      <c r="M779">
        <v>761</v>
      </c>
      <c r="N779">
        <v>487</v>
      </c>
      <c r="O779" s="3">
        <v>1.5626283367556468</v>
      </c>
      <c r="P779">
        <v>48</v>
      </c>
      <c r="Q779">
        <v>59.406713505074158</v>
      </c>
      <c r="R779">
        <v>1.1130474297419151</v>
      </c>
      <c r="S779">
        <v>29.944508434623529</v>
      </c>
      <c r="T779">
        <v>12.268911644851039</v>
      </c>
      <c r="U779">
        <v>1</v>
      </c>
      <c r="V779">
        <v>21</v>
      </c>
      <c r="W779">
        <v>53</v>
      </c>
      <c r="X779">
        <v>3</v>
      </c>
      <c r="Y779">
        <v>2</v>
      </c>
      <c r="Z779">
        <v>2436</v>
      </c>
      <c r="AA779">
        <v>1155</v>
      </c>
    </row>
    <row r="780" spans="1:27" hidden="1">
      <c r="A780">
        <v>38</v>
      </c>
      <c r="B780">
        <v>0</v>
      </c>
      <c r="C780">
        <v>23.495236874706311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56</v>
      </c>
      <c r="M780">
        <v>1223</v>
      </c>
      <c r="N780">
        <v>1459</v>
      </c>
      <c r="O780" s="3">
        <v>0.83824537354352291</v>
      </c>
      <c r="P780">
        <v>73</v>
      </c>
      <c r="Q780">
        <v>41.443578447983732</v>
      </c>
      <c r="R780">
        <v>2.0921750636230052</v>
      </c>
      <c r="S780">
        <v>26.788241345347181</v>
      </c>
      <c r="T780">
        <v>14.485069706946989</v>
      </c>
      <c r="U780">
        <v>6</v>
      </c>
      <c r="V780">
        <v>11</v>
      </c>
      <c r="W780">
        <v>53</v>
      </c>
      <c r="X780">
        <v>8</v>
      </c>
      <c r="Y780">
        <v>6</v>
      </c>
      <c r="Z780">
        <v>5100</v>
      </c>
      <c r="AA780">
        <v>2149</v>
      </c>
    </row>
    <row r="781" spans="1:27" hidden="1">
      <c r="A781">
        <v>41</v>
      </c>
      <c r="B781">
        <v>0</v>
      </c>
      <c r="C781">
        <v>19.77769866698311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80</v>
      </c>
      <c r="M781">
        <v>385</v>
      </c>
      <c r="N781">
        <v>258</v>
      </c>
      <c r="O781" s="3">
        <v>1.4922480620155039</v>
      </c>
      <c r="P781">
        <v>40</v>
      </c>
      <c r="Q781">
        <v>57.807807807807812</v>
      </c>
      <c r="R781">
        <v>1.0075743565365021</v>
      </c>
      <c r="S781">
        <v>29.491482675514149</v>
      </c>
      <c r="T781">
        <v>9.7710814602625433</v>
      </c>
      <c r="U781">
        <v>1</v>
      </c>
      <c r="V781">
        <v>1</v>
      </c>
      <c r="W781">
        <v>24</v>
      </c>
      <c r="X781">
        <v>1</v>
      </c>
      <c r="Y781">
        <v>0</v>
      </c>
      <c r="Z781">
        <v>1682</v>
      </c>
      <c r="AA781">
        <v>1016</v>
      </c>
    </row>
    <row r="782" spans="1:27" hidden="1">
      <c r="A782">
        <v>68</v>
      </c>
      <c r="B782">
        <v>1</v>
      </c>
      <c r="C782">
        <v>24.85795454545455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84</v>
      </c>
      <c r="M782">
        <v>142</v>
      </c>
      <c r="N782">
        <v>46</v>
      </c>
      <c r="O782" s="3">
        <v>3.0869565217391304</v>
      </c>
      <c r="P782">
        <v>26</v>
      </c>
      <c r="Q782">
        <v>72.820512820512818</v>
      </c>
      <c r="R782">
        <v>1.756879891774892</v>
      </c>
      <c r="S782">
        <v>31.460491173274921</v>
      </c>
      <c r="T782">
        <v>5.6350855299169416</v>
      </c>
      <c r="U782">
        <v>0</v>
      </c>
      <c r="V782">
        <v>3</v>
      </c>
      <c r="W782">
        <v>52</v>
      </c>
      <c r="X782">
        <v>2</v>
      </c>
      <c r="Y782">
        <v>0</v>
      </c>
      <c r="Z782">
        <v>701</v>
      </c>
      <c r="AA782">
        <v>506</v>
      </c>
    </row>
    <row r="783" spans="1:27" hidden="1">
      <c r="A783">
        <v>46</v>
      </c>
      <c r="B783">
        <v>0</v>
      </c>
      <c r="C783">
        <v>19.596458121643199</v>
      </c>
      <c r="D783">
        <v>0</v>
      </c>
      <c r="E783">
        <v>1</v>
      </c>
      <c r="F783">
        <v>0</v>
      </c>
      <c r="G783">
        <v>1</v>
      </c>
      <c r="H783">
        <v>1</v>
      </c>
      <c r="I783">
        <v>0</v>
      </c>
      <c r="J783">
        <v>0</v>
      </c>
      <c r="K783">
        <v>0</v>
      </c>
      <c r="L783">
        <v>72</v>
      </c>
      <c r="M783">
        <v>185</v>
      </c>
      <c r="N783">
        <v>110</v>
      </c>
      <c r="O783" s="3">
        <v>1.6818181818181819</v>
      </c>
      <c r="P783">
        <v>26</v>
      </c>
      <c r="Q783">
        <v>55.389221556886227</v>
      </c>
      <c r="R783">
        <v>0.56452450143196042</v>
      </c>
      <c r="S783">
        <v>29.423456463407081</v>
      </c>
      <c r="T783">
        <v>5.9887326989324787</v>
      </c>
      <c r="U783">
        <v>24</v>
      </c>
      <c r="V783">
        <v>47</v>
      </c>
      <c r="W783">
        <v>63</v>
      </c>
      <c r="X783">
        <v>29</v>
      </c>
      <c r="Y783">
        <v>48</v>
      </c>
      <c r="Z783">
        <v>710</v>
      </c>
      <c r="AA783">
        <v>376</v>
      </c>
    </row>
    <row r="784" spans="1:27" hidden="1">
      <c r="A784">
        <v>45</v>
      </c>
      <c r="B784">
        <v>0</v>
      </c>
      <c r="C784">
        <v>18.289894833104711</v>
      </c>
      <c r="D784">
        <v>0</v>
      </c>
      <c r="E784">
        <v>1</v>
      </c>
      <c r="F784">
        <v>0</v>
      </c>
      <c r="G784">
        <v>0</v>
      </c>
      <c r="H784">
        <v>1</v>
      </c>
      <c r="I784">
        <v>0</v>
      </c>
      <c r="J784">
        <v>0</v>
      </c>
      <c r="K784">
        <v>0</v>
      </c>
      <c r="L784">
        <v>69</v>
      </c>
      <c r="M784">
        <v>129</v>
      </c>
      <c r="N784">
        <v>347</v>
      </c>
      <c r="O784" s="3">
        <v>0.37175792507204614</v>
      </c>
      <c r="P784">
        <v>31</v>
      </c>
      <c r="Q784">
        <v>24.951644100580271</v>
      </c>
      <c r="R784">
        <v>0.50272014525043707</v>
      </c>
      <c r="S784">
        <v>29.787074126937661</v>
      </c>
      <c r="T784">
        <v>7.6155876408799008</v>
      </c>
      <c r="U784">
        <v>15</v>
      </c>
      <c r="V784">
        <v>39</v>
      </c>
      <c r="W784">
        <v>67</v>
      </c>
      <c r="X784">
        <v>15</v>
      </c>
      <c r="Y784">
        <v>17</v>
      </c>
      <c r="Z784">
        <v>1013</v>
      </c>
      <c r="AA784">
        <v>496</v>
      </c>
    </row>
    <row r="785" spans="1:27" hidden="1">
      <c r="A785">
        <v>23</v>
      </c>
      <c r="B785">
        <v>0</v>
      </c>
      <c r="C785">
        <v>27.639801313892001</v>
      </c>
      <c r="D785">
        <v>0</v>
      </c>
      <c r="E785">
        <v>1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96</v>
      </c>
      <c r="M785">
        <v>43</v>
      </c>
      <c r="N785">
        <v>46</v>
      </c>
      <c r="O785" s="3">
        <v>0.93478260869565222</v>
      </c>
      <c r="P785">
        <v>12</v>
      </c>
      <c r="Q785">
        <v>40.952380952380949</v>
      </c>
      <c r="R785">
        <v>0.71986812445271409</v>
      </c>
      <c r="S785">
        <v>32.213927156282423</v>
      </c>
      <c r="T785">
        <v>5.2025740139082037</v>
      </c>
      <c r="U785">
        <v>20</v>
      </c>
      <c r="V785">
        <v>19</v>
      </c>
      <c r="W785">
        <v>54</v>
      </c>
      <c r="X785">
        <v>36</v>
      </c>
      <c r="Y785">
        <v>35</v>
      </c>
      <c r="Z785">
        <v>156</v>
      </c>
      <c r="AA785">
        <v>51</v>
      </c>
    </row>
    <row r="786" spans="1:27" hidden="1">
      <c r="A786">
        <v>46</v>
      </c>
      <c r="B786">
        <v>1</v>
      </c>
      <c r="C786">
        <v>34.049030604069863</v>
      </c>
      <c r="D786">
        <v>0</v>
      </c>
      <c r="E786">
        <v>1</v>
      </c>
      <c r="F786">
        <v>0</v>
      </c>
      <c r="G786">
        <v>1</v>
      </c>
      <c r="H786">
        <v>1</v>
      </c>
      <c r="I786">
        <v>0</v>
      </c>
      <c r="J786">
        <v>0</v>
      </c>
      <c r="K786">
        <v>0</v>
      </c>
      <c r="L786">
        <v>49</v>
      </c>
      <c r="M786">
        <v>171</v>
      </c>
      <c r="N786">
        <v>290</v>
      </c>
      <c r="O786" s="3">
        <v>0.58965517241379306</v>
      </c>
      <c r="P786">
        <v>33</v>
      </c>
      <c r="Q786">
        <v>33.996023856858848</v>
      </c>
      <c r="R786">
        <v>1.8591175826734061</v>
      </c>
      <c r="S786">
        <v>29.949120980006551</v>
      </c>
      <c r="T786">
        <v>6.9104010765160773</v>
      </c>
      <c r="U786">
        <v>3</v>
      </c>
      <c r="V786">
        <v>24</v>
      </c>
      <c r="W786">
        <v>79</v>
      </c>
      <c r="X786">
        <v>12</v>
      </c>
      <c r="Y786">
        <v>8</v>
      </c>
      <c r="Z786">
        <v>906</v>
      </c>
      <c r="AA786">
        <v>403</v>
      </c>
    </row>
    <row r="787" spans="1:27" hidden="1">
      <c r="A787">
        <v>46</v>
      </c>
      <c r="B787">
        <v>1</v>
      </c>
      <c r="C787">
        <v>20.82999519307803</v>
      </c>
      <c r="D787">
        <v>0</v>
      </c>
      <c r="E787">
        <v>1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76</v>
      </c>
      <c r="M787">
        <v>380</v>
      </c>
      <c r="N787">
        <v>775</v>
      </c>
      <c r="O787" s="3">
        <v>0.49032258064516127</v>
      </c>
      <c r="P787">
        <v>43</v>
      </c>
      <c r="Q787">
        <v>29.66432474629196</v>
      </c>
      <c r="R787">
        <v>0.5115477215380968</v>
      </c>
      <c r="S787">
        <v>29.032998455543989</v>
      </c>
      <c r="T787">
        <v>10.63151481488906</v>
      </c>
      <c r="U787">
        <v>8</v>
      </c>
      <c r="V787">
        <v>20</v>
      </c>
      <c r="W787">
        <v>57</v>
      </c>
      <c r="X787">
        <v>8</v>
      </c>
      <c r="Y787">
        <v>9</v>
      </c>
      <c r="Z787">
        <v>1664</v>
      </c>
      <c r="AA787">
        <v>383</v>
      </c>
    </row>
    <row r="788" spans="1:27">
      <c r="A788">
        <v>45</v>
      </c>
      <c r="B788">
        <v>1</v>
      </c>
      <c r="C788">
        <v>24.221453287197239</v>
      </c>
      <c r="D788">
        <v>0</v>
      </c>
      <c r="E788">
        <v>1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79</v>
      </c>
      <c r="M788">
        <v>151</v>
      </c>
      <c r="N788">
        <v>33</v>
      </c>
      <c r="O788" s="3">
        <v>4.5757575757575761</v>
      </c>
      <c r="P788">
        <v>19</v>
      </c>
      <c r="Q788">
        <v>77.040816326530617</v>
      </c>
      <c r="R788">
        <v>1.084590264350799</v>
      </c>
      <c r="S788">
        <v>31.015170489409229</v>
      </c>
      <c r="T788">
        <v>6.241169494949494</v>
      </c>
      <c r="U788">
        <v>8</v>
      </c>
      <c r="V788">
        <v>28</v>
      </c>
      <c r="W788">
        <v>58</v>
      </c>
      <c r="X788">
        <v>4</v>
      </c>
      <c r="Y788">
        <v>2</v>
      </c>
      <c r="Z788">
        <v>459</v>
      </c>
      <c r="AA788">
        <v>263</v>
      </c>
    </row>
    <row r="789" spans="1:27">
      <c r="A789">
        <v>42</v>
      </c>
      <c r="B789">
        <v>0</v>
      </c>
      <c r="C789">
        <v>19.841269841269849</v>
      </c>
      <c r="D789">
        <v>0</v>
      </c>
      <c r="E789">
        <v>1</v>
      </c>
      <c r="F789">
        <v>1</v>
      </c>
      <c r="G789">
        <v>1</v>
      </c>
      <c r="H789">
        <v>1</v>
      </c>
      <c r="I789">
        <v>0</v>
      </c>
      <c r="J789">
        <v>0</v>
      </c>
      <c r="K789">
        <v>0</v>
      </c>
      <c r="L789">
        <v>74</v>
      </c>
      <c r="M789">
        <v>410</v>
      </c>
      <c r="N789">
        <v>73</v>
      </c>
      <c r="O789" s="3">
        <v>5.6164383561643838</v>
      </c>
      <c r="P789">
        <v>35</v>
      </c>
      <c r="Q789">
        <v>77.067669172932327</v>
      </c>
      <c r="R789">
        <v>0.52952530270795162</v>
      </c>
      <c r="S789">
        <v>29.686003307440281</v>
      </c>
      <c r="T789">
        <v>7.2252122787738573</v>
      </c>
      <c r="U789">
        <v>15</v>
      </c>
      <c r="V789">
        <v>17</v>
      </c>
      <c r="W789">
        <v>41</v>
      </c>
      <c r="X789">
        <v>23</v>
      </c>
      <c r="Y789">
        <v>24</v>
      </c>
      <c r="Z789">
        <v>1227</v>
      </c>
      <c r="AA789">
        <v>695</v>
      </c>
    </row>
    <row r="790" spans="1:27" hidden="1">
      <c r="A790">
        <v>35</v>
      </c>
      <c r="B790">
        <v>0</v>
      </c>
      <c r="C790">
        <v>19.817844493169169</v>
      </c>
      <c r="D790">
        <v>0</v>
      </c>
      <c r="E790">
        <v>1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56</v>
      </c>
      <c r="M790">
        <v>443</v>
      </c>
      <c r="N790">
        <v>662</v>
      </c>
      <c r="O790" s="3">
        <v>0.66918429003021151</v>
      </c>
      <c r="P790">
        <v>56</v>
      </c>
      <c r="Q790">
        <v>35.214626391096978</v>
      </c>
      <c r="R790">
        <v>1.9845920679488041</v>
      </c>
      <c r="S790">
        <v>29.45715501918842</v>
      </c>
      <c r="T790">
        <v>9.1590119053283114</v>
      </c>
      <c r="U790">
        <v>14</v>
      </c>
      <c r="V790">
        <v>47</v>
      </c>
      <c r="W790">
        <v>66</v>
      </c>
      <c r="X790">
        <v>24</v>
      </c>
      <c r="Y790">
        <v>15</v>
      </c>
      <c r="Z790">
        <v>2937</v>
      </c>
      <c r="AA790">
        <v>1679</v>
      </c>
    </row>
    <row r="791" spans="1:27" hidden="1">
      <c r="A791">
        <v>66</v>
      </c>
      <c r="B791">
        <v>1</v>
      </c>
      <c r="C791">
        <v>20.515086478979921</v>
      </c>
      <c r="D791">
        <v>0</v>
      </c>
      <c r="E791">
        <v>1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86</v>
      </c>
      <c r="M791">
        <v>44</v>
      </c>
      <c r="N791">
        <v>31</v>
      </c>
      <c r="O791" s="3">
        <v>1.4193548387096775</v>
      </c>
      <c r="P791">
        <v>13</v>
      </c>
      <c r="Q791">
        <v>52.38095238095238</v>
      </c>
      <c r="R791">
        <v>0.38983374739997589</v>
      </c>
      <c r="S791">
        <v>32.310795039498217</v>
      </c>
      <c r="T791">
        <v>3.9438834225071782</v>
      </c>
      <c r="U791">
        <v>12</v>
      </c>
      <c r="V791">
        <v>23</v>
      </c>
      <c r="W791">
        <v>72</v>
      </c>
      <c r="X791">
        <v>10</v>
      </c>
      <c r="Y791">
        <v>22</v>
      </c>
      <c r="Z791">
        <v>189</v>
      </c>
      <c r="AA791">
        <v>105</v>
      </c>
    </row>
    <row r="792" spans="1:27" hidden="1">
      <c r="A792">
        <v>40</v>
      </c>
      <c r="B792">
        <v>1</v>
      </c>
      <c r="C792">
        <v>19.834710743801651</v>
      </c>
      <c r="D792">
        <v>0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69</v>
      </c>
      <c r="M792">
        <v>529</v>
      </c>
      <c r="N792">
        <v>297</v>
      </c>
      <c r="O792" s="3">
        <v>1.7811447811447811</v>
      </c>
      <c r="P792">
        <v>36</v>
      </c>
      <c r="Q792">
        <v>56.216790648246537</v>
      </c>
      <c r="R792">
        <v>0.67757841513024886</v>
      </c>
      <c r="S792">
        <v>27.617698182868772</v>
      </c>
      <c r="T792">
        <v>9.5052336940600028</v>
      </c>
      <c r="U792">
        <v>2</v>
      </c>
      <c r="V792">
        <v>14</v>
      </c>
      <c r="W792">
        <v>55</v>
      </c>
      <c r="X792">
        <v>32</v>
      </c>
      <c r="Y792">
        <v>12</v>
      </c>
      <c r="Z792">
        <v>1260</v>
      </c>
      <c r="AA792">
        <v>319</v>
      </c>
    </row>
    <row r="793" spans="1:27" hidden="1">
      <c r="A793">
        <v>47</v>
      </c>
      <c r="B793">
        <v>1</v>
      </c>
      <c r="C793">
        <v>24.772096710265561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83</v>
      </c>
      <c r="M793">
        <v>197</v>
      </c>
      <c r="N793">
        <v>164</v>
      </c>
      <c r="O793" s="3">
        <v>1.2012195121951219</v>
      </c>
      <c r="P793">
        <v>25</v>
      </c>
      <c r="Q793">
        <v>50.38363171355499</v>
      </c>
      <c r="R793">
        <v>0.95961205930470617</v>
      </c>
      <c r="S793">
        <v>30.991902308035559</v>
      </c>
      <c r="T793">
        <v>6.6226469683067481</v>
      </c>
      <c r="U793">
        <v>0</v>
      </c>
      <c r="V793">
        <v>2</v>
      </c>
      <c r="W793">
        <v>25</v>
      </c>
      <c r="X793">
        <v>0</v>
      </c>
      <c r="Y793">
        <v>0</v>
      </c>
      <c r="Z793">
        <v>746</v>
      </c>
      <c r="AA793">
        <v>355</v>
      </c>
    </row>
    <row r="794" spans="1:27" hidden="1">
      <c r="A794">
        <v>44</v>
      </c>
      <c r="B794">
        <v>0</v>
      </c>
      <c r="C794">
        <v>26.953125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82</v>
      </c>
      <c r="M794">
        <v>218</v>
      </c>
      <c r="N794">
        <v>68</v>
      </c>
      <c r="O794" s="3">
        <v>3.2058823529411766</v>
      </c>
      <c r="P794">
        <v>29</v>
      </c>
      <c r="Q794">
        <v>71.009771986970691</v>
      </c>
      <c r="R794">
        <v>1.069996755381075</v>
      </c>
      <c r="S794">
        <v>31.354213316413048</v>
      </c>
      <c r="T794">
        <v>6.3918748049611196</v>
      </c>
      <c r="U794">
        <v>6</v>
      </c>
      <c r="V794">
        <v>6</v>
      </c>
      <c r="W794">
        <v>33</v>
      </c>
      <c r="X794">
        <v>2</v>
      </c>
      <c r="Y794">
        <v>5</v>
      </c>
      <c r="Z794">
        <v>845</v>
      </c>
      <c r="AA794">
        <v>538</v>
      </c>
    </row>
    <row r="795" spans="1:27" hidden="1">
      <c r="A795">
        <v>45</v>
      </c>
      <c r="B795">
        <v>0</v>
      </c>
      <c r="C795">
        <v>24.464601603372351</v>
      </c>
      <c r="D795">
        <v>0</v>
      </c>
      <c r="E795">
        <v>1</v>
      </c>
      <c r="F795">
        <v>0</v>
      </c>
      <c r="G795">
        <v>0</v>
      </c>
      <c r="H795">
        <v>1</v>
      </c>
      <c r="I795">
        <v>0</v>
      </c>
      <c r="J795">
        <v>0</v>
      </c>
      <c r="K795">
        <v>0</v>
      </c>
      <c r="L795">
        <v>76</v>
      </c>
      <c r="M795">
        <v>376</v>
      </c>
      <c r="N795">
        <v>128</v>
      </c>
      <c r="O795" s="3">
        <v>2.9375</v>
      </c>
      <c r="P795">
        <v>36</v>
      </c>
      <c r="Q795">
        <v>70.149253731343279</v>
      </c>
      <c r="R795">
        <v>0.63656185838705659</v>
      </c>
      <c r="S795">
        <v>30.595415232859871</v>
      </c>
      <c r="T795">
        <v>7.0343678034547148</v>
      </c>
      <c r="U795">
        <v>14</v>
      </c>
      <c r="V795">
        <v>50</v>
      </c>
      <c r="W795">
        <v>84</v>
      </c>
      <c r="X795">
        <v>22</v>
      </c>
      <c r="Y795">
        <v>32</v>
      </c>
      <c r="Z795">
        <v>1385</v>
      </c>
      <c r="AA795">
        <v>849</v>
      </c>
    </row>
    <row r="796" spans="1:27" hidden="1">
      <c r="A796">
        <v>41</v>
      </c>
      <c r="B796">
        <v>0</v>
      </c>
      <c r="C796">
        <v>23.875114784205699</v>
      </c>
      <c r="D796">
        <v>0</v>
      </c>
      <c r="E796">
        <v>1</v>
      </c>
      <c r="F796">
        <v>0</v>
      </c>
      <c r="G796">
        <v>1</v>
      </c>
      <c r="H796">
        <v>1</v>
      </c>
      <c r="I796">
        <v>0</v>
      </c>
      <c r="J796">
        <v>0</v>
      </c>
      <c r="K796">
        <v>0</v>
      </c>
      <c r="L796">
        <v>72</v>
      </c>
      <c r="M796">
        <v>511</v>
      </c>
      <c r="N796">
        <v>339</v>
      </c>
      <c r="O796" s="3">
        <v>1.5073746312684366</v>
      </c>
      <c r="P796">
        <v>41</v>
      </c>
      <c r="Q796">
        <v>51.356783919597987</v>
      </c>
      <c r="R796">
        <v>0.59610027071978511</v>
      </c>
      <c r="S796">
        <v>30.068980379236731</v>
      </c>
      <c r="T796">
        <v>8.746052390952773</v>
      </c>
      <c r="U796">
        <v>23</v>
      </c>
      <c r="V796">
        <v>23</v>
      </c>
      <c r="W796">
        <v>62</v>
      </c>
      <c r="X796">
        <v>15</v>
      </c>
      <c r="Y796">
        <v>37</v>
      </c>
      <c r="Z796">
        <v>1635</v>
      </c>
      <c r="AA796">
        <v>640</v>
      </c>
    </row>
    <row r="797" spans="1:27">
      <c r="A797">
        <v>45</v>
      </c>
      <c r="B797">
        <v>0</v>
      </c>
      <c r="C797">
        <v>21.35930624973301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68</v>
      </c>
      <c r="M797">
        <v>75</v>
      </c>
      <c r="N797">
        <v>228</v>
      </c>
      <c r="O797" s="3">
        <v>0.32894736842105265</v>
      </c>
      <c r="P797">
        <v>25</v>
      </c>
      <c r="Q797">
        <v>19.430051813471501</v>
      </c>
      <c r="R797">
        <v>0.41577336909493939</v>
      </c>
      <c r="S797">
        <v>29.47003189189903</v>
      </c>
      <c r="T797">
        <v>7.0017215975898512</v>
      </c>
      <c r="U797">
        <v>10</v>
      </c>
      <c r="V797">
        <v>33</v>
      </c>
      <c r="W797">
        <v>49</v>
      </c>
      <c r="X797">
        <v>30</v>
      </c>
      <c r="Y797">
        <v>24</v>
      </c>
      <c r="Z797">
        <v>531</v>
      </c>
      <c r="AA797">
        <v>145</v>
      </c>
    </row>
    <row r="798" spans="1:27" hidden="1">
      <c r="A798">
        <v>42</v>
      </c>
      <c r="B798">
        <v>0</v>
      </c>
      <c r="C798">
        <v>26.171875</v>
      </c>
      <c r="D798">
        <v>0</v>
      </c>
      <c r="E798">
        <v>1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83</v>
      </c>
      <c r="M798">
        <v>24</v>
      </c>
      <c r="N798">
        <v>13</v>
      </c>
      <c r="O798" s="3">
        <v>1.8461538461538463</v>
      </c>
      <c r="P798">
        <v>11</v>
      </c>
      <c r="Q798">
        <v>53.333333333333343</v>
      </c>
      <c r="R798">
        <v>0.62587421062858173</v>
      </c>
      <c r="S798">
        <v>32.69267868201969</v>
      </c>
      <c r="T798">
        <v>3.7835075175270259</v>
      </c>
      <c r="U798">
        <v>20</v>
      </c>
      <c r="V798">
        <v>45</v>
      </c>
      <c r="W798">
        <v>85</v>
      </c>
      <c r="X798">
        <v>19</v>
      </c>
      <c r="Y798">
        <v>41</v>
      </c>
      <c r="Z798">
        <v>135</v>
      </c>
      <c r="AA798">
        <v>90</v>
      </c>
    </row>
    <row r="799" spans="1:27" hidden="1">
      <c r="A799">
        <v>29</v>
      </c>
      <c r="B799">
        <v>0</v>
      </c>
      <c r="C799">
        <v>30.483379300333869</v>
      </c>
      <c r="D799">
        <v>0</v>
      </c>
      <c r="E799">
        <v>1</v>
      </c>
      <c r="F799">
        <v>0</v>
      </c>
      <c r="G799">
        <v>1</v>
      </c>
      <c r="H799">
        <v>1</v>
      </c>
      <c r="I799">
        <v>0</v>
      </c>
      <c r="J799">
        <v>0</v>
      </c>
      <c r="K799">
        <v>0</v>
      </c>
      <c r="L799">
        <v>62</v>
      </c>
      <c r="M799">
        <v>681</v>
      </c>
      <c r="N799">
        <v>648</v>
      </c>
      <c r="O799" s="3">
        <v>1.0509259259259258</v>
      </c>
      <c r="P799">
        <v>52</v>
      </c>
      <c r="Q799">
        <v>47.1606648199446</v>
      </c>
      <c r="R799">
        <v>0.82772667646427522</v>
      </c>
      <c r="S799">
        <v>31.567594539517309</v>
      </c>
      <c r="T799">
        <v>9.6597651186678792</v>
      </c>
      <c r="U799">
        <v>16</v>
      </c>
      <c r="V799">
        <v>35</v>
      </c>
      <c r="W799">
        <v>67</v>
      </c>
      <c r="X799">
        <v>30</v>
      </c>
      <c r="Y799">
        <v>24</v>
      </c>
      <c r="Z799">
        <v>2485</v>
      </c>
      <c r="AA799">
        <v>1041</v>
      </c>
    </row>
    <row r="800" spans="1:27" hidden="1">
      <c r="A800">
        <v>22</v>
      </c>
      <c r="B800">
        <v>1</v>
      </c>
      <c r="C800">
        <v>28.405504355510669</v>
      </c>
      <c r="D800">
        <v>0</v>
      </c>
      <c r="E800">
        <v>1</v>
      </c>
      <c r="F800">
        <v>0</v>
      </c>
      <c r="G800">
        <v>1</v>
      </c>
      <c r="H800">
        <v>1</v>
      </c>
      <c r="I800">
        <v>0</v>
      </c>
      <c r="J800">
        <v>0</v>
      </c>
      <c r="K800">
        <v>0</v>
      </c>
      <c r="L800">
        <v>80</v>
      </c>
      <c r="M800">
        <v>137</v>
      </c>
      <c r="N800">
        <v>67</v>
      </c>
      <c r="O800" s="3">
        <v>2.044776119402985</v>
      </c>
      <c r="P800">
        <v>20</v>
      </c>
      <c r="Q800">
        <v>62.557077625570777</v>
      </c>
      <c r="R800">
        <v>0.50467162994971881</v>
      </c>
      <c r="S800">
        <v>31.760940278661401</v>
      </c>
      <c r="T800">
        <v>5.7433328968253958</v>
      </c>
      <c r="U800">
        <v>16</v>
      </c>
      <c r="V800">
        <v>42</v>
      </c>
      <c r="W800">
        <v>64</v>
      </c>
      <c r="X800">
        <v>37</v>
      </c>
      <c r="Y800">
        <v>38</v>
      </c>
      <c r="Z800">
        <v>403</v>
      </c>
      <c r="AA800">
        <v>184</v>
      </c>
    </row>
    <row r="801" spans="1:27">
      <c r="A801">
        <v>29</v>
      </c>
      <c r="B801">
        <v>0</v>
      </c>
      <c r="C801">
        <v>20.957171162932479</v>
      </c>
      <c r="D801">
        <v>0</v>
      </c>
      <c r="E801">
        <v>1</v>
      </c>
      <c r="F801">
        <v>1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110</v>
      </c>
      <c r="M801">
        <v>21</v>
      </c>
      <c r="N801">
        <v>9</v>
      </c>
      <c r="O801" s="3">
        <v>2.3333333333333335</v>
      </c>
      <c r="P801">
        <v>12</v>
      </c>
      <c r="Q801">
        <v>52.5</v>
      </c>
      <c r="R801">
        <v>0.73256753844000144</v>
      </c>
      <c r="S801">
        <v>33.389598916548351</v>
      </c>
      <c r="T801">
        <v>3.7122294384118288</v>
      </c>
      <c r="U801">
        <v>23</v>
      </c>
      <c r="V801">
        <v>16</v>
      </c>
      <c r="W801">
        <v>71</v>
      </c>
      <c r="X801">
        <v>47</v>
      </c>
      <c r="Y801">
        <v>40</v>
      </c>
      <c r="Z801">
        <v>154</v>
      </c>
      <c r="AA801">
        <v>114</v>
      </c>
    </row>
    <row r="802" spans="1:27" hidden="1">
      <c r="A802">
        <v>31</v>
      </c>
      <c r="B802">
        <v>0</v>
      </c>
      <c r="C802">
        <v>22.136739730004361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68</v>
      </c>
      <c r="M802">
        <v>9670</v>
      </c>
      <c r="N802">
        <v>13834</v>
      </c>
      <c r="O802" s="3">
        <v>0.69900245771288128</v>
      </c>
      <c r="P802">
        <v>209</v>
      </c>
      <c r="Q802">
        <v>33.303485328557663</v>
      </c>
      <c r="R802">
        <v>0.56033433094614582</v>
      </c>
      <c r="S802">
        <v>28.7246521166146</v>
      </c>
      <c r="T802">
        <v>20.306288412698411</v>
      </c>
      <c r="U802">
        <v>6</v>
      </c>
      <c r="V802">
        <v>5</v>
      </c>
      <c r="W802">
        <v>23</v>
      </c>
      <c r="X802">
        <v>8</v>
      </c>
      <c r="Y802">
        <v>2</v>
      </c>
      <c r="Z802">
        <v>31138</v>
      </c>
      <c r="AA802">
        <v>2102</v>
      </c>
    </row>
    <row r="803" spans="1:27" hidden="1">
      <c r="A803">
        <v>31</v>
      </c>
      <c r="B803">
        <v>0</v>
      </c>
      <c r="C803">
        <v>18.106139438085329</v>
      </c>
      <c r="D803">
        <v>0</v>
      </c>
      <c r="E803">
        <v>1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77</v>
      </c>
      <c r="M803">
        <v>688</v>
      </c>
      <c r="N803">
        <v>316</v>
      </c>
      <c r="O803" s="3">
        <v>2.1772151898734178</v>
      </c>
      <c r="P803">
        <v>44</v>
      </c>
      <c r="Q803">
        <v>65.837320574162675</v>
      </c>
      <c r="R803">
        <v>0.39538866123127098</v>
      </c>
      <c r="S803">
        <v>27.213111352346349</v>
      </c>
      <c r="T803">
        <v>11.79428768133371</v>
      </c>
      <c r="U803">
        <v>14</v>
      </c>
      <c r="V803">
        <v>50</v>
      </c>
      <c r="W803">
        <v>61</v>
      </c>
      <c r="X803">
        <v>12</v>
      </c>
      <c r="Y803">
        <v>42</v>
      </c>
      <c r="Z803">
        <v>1910</v>
      </c>
      <c r="AA803">
        <v>865</v>
      </c>
    </row>
    <row r="804" spans="1:27" hidden="1">
      <c r="A804">
        <v>41</v>
      </c>
      <c r="B804">
        <v>0</v>
      </c>
      <c r="C804">
        <v>20.446742023841669</v>
      </c>
      <c r="D804">
        <v>0</v>
      </c>
      <c r="E804">
        <v>1</v>
      </c>
      <c r="F804">
        <v>0</v>
      </c>
      <c r="G804">
        <v>1</v>
      </c>
      <c r="H804">
        <v>1</v>
      </c>
      <c r="I804">
        <v>0</v>
      </c>
      <c r="J804">
        <v>0</v>
      </c>
      <c r="K804">
        <v>0</v>
      </c>
      <c r="L804">
        <v>61</v>
      </c>
      <c r="M804">
        <v>129</v>
      </c>
      <c r="N804">
        <v>214</v>
      </c>
      <c r="O804" s="3">
        <v>0.60280373831775702</v>
      </c>
      <c r="P804">
        <v>26</v>
      </c>
      <c r="Q804">
        <v>32.741116751269033</v>
      </c>
      <c r="R804">
        <v>0.66770687377707916</v>
      </c>
      <c r="S804">
        <v>28.769679608134918</v>
      </c>
      <c r="T804">
        <v>6.8188244712648922</v>
      </c>
      <c r="U804">
        <v>11</v>
      </c>
      <c r="V804">
        <v>4</v>
      </c>
      <c r="W804">
        <v>42</v>
      </c>
      <c r="X804">
        <v>11</v>
      </c>
      <c r="Y804">
        <v>6</v>
      </c>
      <c r="Z804">
        <v>651</v>
      </c>
      <c r="AA804">
        <v>257</v>
      </c>
    </row>
    <row r="805" spans="1:27" hidden="1">
      <c r="A805">
        <v>52</v>
      </c>
      <c r="B805">
        <v>1</v>
      </c>
      <c r="C805">
        <v>20.549886621315199</v>
      </c>
      <c r="D805">
        <v>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83</v>
      </c>
      <c r="M805">
        <v>187</v>
      </c>
      <c r="N805">
        <v>58</v>
      </c>
      <c r="O805" s="3">
        <v>3.2241379310344827</v>
      </c>
      <c r="P805">
        <v>31</v>
      </c>
      <c r="Q805">
        <v>71.64750957854406</v>
      </c>
      <c r="R805">
        <v>0.6367808369578154</v>
      </c>
      <c r="S805">
        <v>30.24137235805637</v>
      </c>
      <c r="T805">
        <v>6.1528772863918171</v>
      </c>
      <c r="U805">
        <v>7</v>
      </c>
      <c r="V805">
        <v>23</v>
      </c>
      <c r="W805">
        <v>45</v>
      </c>
      <c r="X805">
        <v>7</v>
      </c>
      <c r="Y805">
        <v>6</v>
      </c>
      <c r="Z805">
        <v>1065</v>
      </c>
      <c r="AA805">
        <v>804</v>
      </c>
    </row>
    <row r="806" spans="1:27">
      <c r="A806">
        <v>27</v>
      </c>
      <c r="B806">
        <v>1</v>
      </c>
      <c r="C806">
        <v>19.753086419753089</v>
      </c>
      <c r="D806">
        <v>0</v>
      </c>
      <c r="E806">
        <v>1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87</v>
      </c>
      <c r="M806">
        <v>257</v>
      </c>
      <c r="N806">
        <v>72</v>
      </c>
      <c r="O806" s="3">
        <v>3.5694444444444446</v>
      </c>
      <c r="P806">
        <v>22</v>
      </c>
      <c r="Q806">
        <v>75.588235294117652</v>
      </c>
      <c r="R806">
        <v>1.4555551158695159</v>
      </c>
      <c r="S806">
        <v>29.967812523929961</v>
      </c>
      <c r="T806">
        <v>6.8390484509444782</v>
      </c>
      <c r="U806">
        <v>4</v>
      </c>
      <c r="V806">
        <v>3</v>
      </c>
      <c r="W806">
        <v>37</v>
      </c>
      <c r="X806">
        <v>7</v>
      </c>
      <c r="Y806">
        <v>2</v>
      </c>
      <c r="Z806">
        <v>517</v>
      </c>
      <c r="AA806">
        <v>177</v>
      </c>
    </row>
    <row r="807" spans="1:27">
      <c r="A807">
        <v>31</v>
      </c>
      <c r="B807">
        <v>0</v>
      </c>
      <c r="C807">
        <v>20.703125</v>
      </c>
      <c r="D807">
        <v>0</v>
      </c>
      <c r="E807">
        <v>0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74</v>
      </c>
      <c r="M807">
        <v>456</v>
      </c>
      <c r="N807">
        <v>295</v>
      </c>
      <c r="O807" s="3">
        <v>1.5457627118644068</v>
      </c>
      <c r="P807">
        <v>34</v>
      </c>
      <c r="Q807">
        <v>58.015267175572518</v>
      </c>
      <c r="R807">
        <v>0.53843563115275783</v>
      </c>
      <c r="S807">
        <v>29.712711992043161</v>
      </c>
      <c r="T807">
        <v>8.2096176046059046</v>
      </c>
      <c r="U807">
        <v>14</v>
      </c>
      <c r="V807">
        <v>40</v>
      </c>
      <c r="W807">
        <v>71</v>
      </c>
      <c r="X807">
        <v>13</v>
      </c>
      <c r="Y807">
        <v>17</v>
      </c>
      <c r="Z807">
        <v>1262</v>
      </c>
      <c r="AA807">
        <v>476</v>
      </c>
    </row>
    <row r="808" spans="1:27">
      <c r="A808">
        <v>33</v>
      </c>
      <c r="B808">
        <v>0</v>
      </c>
      <c r="C808">
        <v>18.75</v>
      </c>
      <c r="D808">
        <v>0</v>
      </c>
      <c r="E808">
        <v>0</v>
      </c>
      <c r="F808">
        <v>1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85</v>
      </c>
      <c r="M808">
        <v>238</v>
      </c>
      <c r="N808">
        <v>51</v>
      </c>
      <c r="O808" s="3">
        <v>4.666666666666667</v>
      </c>
      <c r="P808">
        <v>26</v>
      </c>
      <c r="Q808">
        <v>77.777777777777771</v>
      </c>
      <c r="R808">
        <v>0.86027873468850569</v>
      </c>
      <c r="S808">
        <v>29.648653295360418</v>
      </c>
      <c r="T808">
        <v>6.2545346764346768</v>
      </c>
      <c r="U808">
        <v>16</v>
      </c>
      <c r="V808">
        <v>18</v>
      </c>
      <c r="W808">
        <v>43</v>
      </c>
      <c r="X808">
        <v>18</v>
      </c>
      <c r="Y808">
        <v>10</v>
      </c>
      <c r="Z808">
        <v>681</v>
      </c>
      <c r="AA808">
        <v>375</v>
      </c>
    </row>
    <row r="809" spans="1:27" hidden="1">
      <c r="A809">
        <v>44</v>
      </c>
      <c r="B809">
        <v>1</v>
      </c>
      <c r="C809">
        <v>31.37798916633637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82</v>
      </c>
      <c r="M809">
        <v>267</v>
      </c>
      <c r="N809">
        <v>103</v>
      </c>
      <c r="O809" s="3">
        <v>2.592233009708738</v>
      </c>
      <c r="P809">
        <v>36</v>
      </c>
      <c r="Q809">
        <v>64.492753623188406</v>
      </c>
      <c r="R809">
        <v>0.51540931889058283</v>
      </c>
      <c r="S809">
        <v>30.886475600810009</v>
      </c>
      <c r="T809">
        <v>7.1950845850148202</v>
      </c>
      <c r="U809">
        <v>5</v>
      </c>
      <c r="V809">
        <v>17</v>
      </c>
      <c r="W809">
        <v>34</v>
      </c>
      <c r="X809">
        <v>12</v>
      </c>
      <c r="Y809">
        <v>15</v>
      </c>
      <c r="Z809">
        <v>1498</v>
      </c>
      <c r="AA809">
        <v>1084</v>
      </c>
    </row>
    <row r="810" spans="1:27" hidden="1">
      <c r="A810">
        <v>52</v>
      </c>
      <c r="B810">
        <v>0</v>
      </c>
      <c r="C810">
        <v>24.86395196096829</v>
      </c>
      <c r="D810">
        <v>0</v>
      </c>
      <c r="E810">
        <v>1</v>
      </c>
      <c r="F810">
        <v>0</v>
      </c>
      <c r="G810">
        <v>0</v>
      </c>
      <c r="H810">
        <v>1</v>
      </c>
      <c r="I810">
        <v>0</v>
      </c>
      <c r="J810">
        <v>0</v>
      </c>
      <c r="K810">
        <v>0</v>
      </c>
      <c r="L810">
        <v>70</v>
      </c>
      <c r="M810">
        <v>186</v>
      </c>
      <c r="N810">
        <v>207</v>
      </c>
      <c r="O810" s="3">
        <v>0.89855072463768115</v>
      </c>
      <c r="P810">
        <v>30</v>
      </c>
      <c r="Q810">
        <v>41.704035874439462</v>
      </c>
      <c r="R810">
        <v>0.90023941721040979</v>
      </c>
      <c r="S810">
        <v>30.635626201537519</v>
      </c>
      <c r="T810">
        <v>6.7100831922458521</v>
      </c>
      <c r="U810">
        <v>6</v>
      </c>
      <c r="V810">
        <v>7</v>
      </c>
      <c r="W810">
        <v>42</v>
      </c>
      <c r="X810">
        <v>2</v>
      </c>
      <c r="Y810">
        <v>2</v>
      </c>
      <c r="Z810">
        <v>940</v>
      </c>
      <c r="AA810">
        <v>494</v>
      </c>
    </row>
    <row r="811" spans="1:27" hidden="1">
      <c r="A811">
        <v>41</v>
      </c>
      <c r="B811">
        <v>1</v>
      </c>
      <c r="C811">
        <v>31.652184299322158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75</v>
      </c>
      <c r="M811">
        <v>914</v>
      </c>
      <c r="N811">
        <v>181</v>
      </c>
      <c r="O811" s="3">
        <v>5.0497237569060776</v>
      </c>
      <c r="P811">
        <v>50</v>
      </c>
      <c r="Q811">
        <v>80.245829675153644</v>
      </c>
      <c r="R811">
        <v>0.59058062386931531</v>
      </c>
      <c r="S811">
        <v>31.44150849613623</v>
      </c>
      <c r="T811">
        <v>10.073479006368879</v>
      </c>
      <c r="U811">
        <v>7</v>
      </c>
      <c r="V811">
        <v>7</v>
      </c>
      <c r="W811">
        <v>45</v>
      </c>
      <c r="X811">
        <v>24</v>
      </c>
      <c r="Y811">
        <v>14</v>
      </c>
      <c r="Z811">
        <v>2522</v>
      </c>
      <c r="AA811">
        <v>1383</v>
      </c>
    </row>
    <row r="812" spans="1:27" hidden="1">
      <c r="A812">
        <v>61</v>
      </c>
      <c r="B812">
        <v>1</v>
      </c>
      <c r="C812">
        <v>20.5456936226167</v>
      </c>
      <c r="D812">
        <v>0</v>
      </c>
      <c r="E812">
        <v>1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99</v>
      </c>
      <c r="M812">
        <v>8458</v>
      </c>
      <c r="N812">
        <v>12597</v>
      </c>
      <c r="O812" s="3">
        <v>0.67142970548543301</v>
      </c>
      <c r="P812">
        <v>195</v>
      </c>
      <c r="Q812">
        <v>25.833842394624309</v>
      </c>
      <c r="R812">
        <v>0.875733951772665</v>
      </c>
      <c r="S812">
        <v>29.913003846447388</v>
      </c>
      <c r="T812">
        <v>35.000546825396832</v>
      </c>
      <c r="U812">
        <v>11</v>
      </c>
      <c r="V812">
        <v>29</v>
      </c>
      <c r="W812">
        <v>58</v>
      </c>
      <c r="X812">
        <v>13</v>
      </c>
      <c r="Y812">
        <v>10</v>
      </c>
      <c r="Z812">
        <v>34753</v>
      </c>
      <c r="AA812">
        <v>2013</v>
      </c>
    </row>
    <row r="813" spans="1:27" hidden="1">
      <c r="A813">
        <v>69</v>
      </c>
      <c r="B813">
        <v>0</v>
      </c>
      <c r="C813">
        <v>20.173252640322769</v>
      </c>
      <c r="D813">
        <v>0</v>
      </c>
      <c r="E813">
        <v>1</v>
      </c>
      <c r="F813">
        <v>0</v>
      </c>
      <c r="G813">
        <v>0</v>
      </c>
      <c r="H813">
        <v>1</v>
      </c>
      <c r="I813">
        <v>0</v>
      </c>
      <c r="J813">
        <v>0</v>
      </c>
      <c r="K813">
        <v>0</v>
      </c>
      <c r="L813">
        <v>70</v>
      </c>
      <c r="M813">
        <v>71</v>
      </c>
      <c r="N813">
        <v>190</v>
      </c>
      <c r="O813" s="3">
        <v>0.37368421052631579</v>
      </c>
      <c r="P813">
        <v>24</v>
      </c>
      <c r="Q813">
        <v>22.327044025157232</v>
      </c>
      <c r="R813">
        <v>0.3487382167018182</v>
      </c>
      <c r="S813">
        <v>29.2743668509356</v>
      </c>
      <c r="T813">
        <v>5.8562112728219811</v>
      </c>
      <c r="U813">
        <v>6</v>
      </c>
      <c r="V813">
        <v>36</v>
      </c>
      <c r="W813">
        <v>66</v>
      </c>
      <c r="X813">
        <v>6</v>
      </c>
      <c r="Y813">
        <v>14</v>
      </c>
      <c r="Z813">
        <v>574</v>
      </c>
      <c r="AA813">
        <v>256</v>
      </c>
    </row>
    <row r="814" spans="1:27" hidden="1">
      <c r="A814">
        <v>63</v>
      </c>
      <c r="B814">
        <v>0</v>
      </c>
      <c r="C814">
        <v>21.411210987230429</v>
      </c>
      <c r="D814">
        <v>0</v>
      </c>
      <c r="E814">
        <v>1</v>
      </c>
      <c r="F814">
        <v>0</v>
      </c>
      <c r="G814">
        <v>0</v>
      </c>
      <c r="H814">
        <v>1</v>
      </c>
      <c r="I814">
        <v>0</v>
      </c>
      <c r="J814">
        <v>0</v>
      </c>
      <c r="K814">
        <v>0</v>
      </c>
      <c r="L814">
        <v>66</v>
      </c>
      <c r="M814">
        <v>73</v>
      </c>
      <c r="N814">
        <v>206</v>
      </c>
      <c r="O814" s="3">
        <v>0.35436893203883496</v>
      </c>
      <c r="P814">
        <v>21</v>
      </c>
      <c r="Q814">
        <v>23.472668810289392</v>
      </c>
      <c r="R814">
        <v>0.58353860976645555</v>
      </c>
      <c r="S814">
        <v>31.336930892983659</v>
      </c>
      <c r="T814">
        <v>5.8144107571983588</v>
      </c>
      <c r="U814">
        <v>21</v>
      </c>
      <c r="V814">
        <v>25</v>
      </c>
      <c r="W814">
        <v>65</v>
      </c>
      <c r="X814">
        <v>24</v>
      </c>
      <c r="Y814">
        <v>33</v>
      </c>
      <c r="Z814">
        <v>368</v>
      </c>
      <c r="AA814">
        <v>57</v>
      </c>
    </row>
    <row r="815" spans="1:27" hidden="1">
      <c r="A815">
        <v>38</v>
      </c>
      <c r="B815">
        <v>0</v>
      </c>
      <c r="C815">
        <v>19.227687870533561</v>
      </c>
      <c r="D815">
        <v>0</v>
      </c>
      <c r="E815">
        <v>0</v>
      </c>
      <c r="F815">
        <v>0</v>
      </c>
      <c r="G815">
        <v>1</v>
      </c>
      <c r="H815">
        <v>1</v>
      </c>
      <c r="I815">
        <v>0</v>
      </c>
      <c r="J815">
        <v>0</v>
      </c>
      <c r="K815">
        <v>0</v>
      </c>
      <c r="L815">
        <v>80</v>
      </c>
      <c r="M815">
        <v>212</v>
      </c>
      <c r="N815">
        <v>292</v>
      </c>
      <c r="O815" s="3">
        <v>0.72602739726027399</v>
      </c>
      <c r="P815">
        <v>36</v>
      </c>
      <c r="Q815">
        <v>30.028328611898019</v>
      </c>
      <c r="R815">
        <v>0.36017888378494461</v>
      </c>
      <c r="S815">
        <v>28.15564695850254</v>
      </c>
      <c r="T815">
        <v>8.8877167178436078</v>
      </c>
      <c r="U815">
        <v>10</v>
      </c>
      <c r="V815">
        <v>4</v>
      </c>
      <c r="W815">
        <v>53</v>
      </c>
      <c r="X815">
        <v>34</v>
      </c>
      <c r="Y815">
        <v>16</v>
      </c>
      <c r="Z815">
        <v>1289</v>
      </c>
      <c r="AA815">
        <v>583</v>
      </c>
    </row>
    <row r="816" spans="1:27" hidden="1">
      <c r="A816">
        <v>38</v>
      </c>
      <c r="B816">
        <v>0</v>
      </c>
      <c r="C816">
        <v>24.776795249690291</v>
      </c>
      <c r="D816">
        <v>0</v>
      </c>
      <c r="E816">
        <v>0</v>
      </c>
      <c r="F816">
        <v>0</v>
      </c>
      <c r="G816">
        <v>1</v>
      </c>
      <c r="H816">
        <v>1</v>
      </c>
      <c r="I816">
        <v>0</v>
      </c>
      <c r="J816">
        <v>0</v>
      </c>
      <c r="K816">
        <v>0</v>
      </c>
      <c r="L816">
        <v>73</v>
      </c>
      <c r="M816">
        <v>436</v>
      </c>
      <c r="N816">
        <v>1335</v>
      </c>
      <c r="O816" s="3">
        <v>0.32659176029962544</v>
      </c>
      <c r="P816">
        <v>56</v>
      </c>
      <c r="Q816">
        <v>23.864258347016971</v>
      </c>
      <c r="R816">
        <v>1.011132886978009</v>
      </c>
      <c r="S816">
        <v>29.00823067804971</v>
      </c>
      <c r="T816">
        <v>11.57133257936508</v>
      </c>
      <c r="U816">
        <v>2</v>
      </c>
      <c r="V816">
        <v>7</v>
      </c>
      <c r="W816">
        <v>62</v>
      </c>
      <c r="X816">
        <v>0</v>
      </c>
      <c r="Y816">
        <v>2</v>
      </c>
      <c r="Z816">
        <v>3042</v>
      </c>
      <c r="AA816">
        <v>1215</v>
      </c>
    </row>
    <row r="817" spans="1:27">
      <c r="A817">
        <v>45</v>
      </c>
      <c r="B817">
        <v>0</v>
      </c>
      <c r="C817">
        <v>23.875114784205699</v>
      </c>
      <c r="D817">
        <v>0</v>
      </c>
      <c r="E817">
        <v>1</v>
      </c>
      <c r="F817">
        <v>1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75</v>
      </c>
      <c r="M817">
        <v>190</v>
      </c>
      <c r="N817">
        <v>436</v>
      </c>
      <c r="O817" s="3">
        <v>0.43577981651376146</v>
      </c>
      <c r="P817">
        <v>34</v>
      </c>
      <c r="Q817">
        <v>26.499302649930261</v>
      </c>
      <c r="R817">
        <v>0.46812889910384758</v>
      </c>
      <c r="S817">
        <v>29.925952398153669</v>
      </c>
      <c r="T817">
        <v>7.7810305815744698</v>
      </c>
      <c r="U817">
        <v>13</v>
      </c>
      <c r="V817">
        <v>38</v>
      </c>
      <c r="W817">
        <v>62</v>
      </c>
      <c r="X817">
        <v>31</v>
      </c>
      <c r="Y817">
        <v>11</v>
      </c>
      <c r="Z817">
        <v>1229</v>
      </c>
      <c r="AA817">
        <v>512</v>
      </c>
    </row>
    <row r="818" spans="1:27" hidden="1">
      <c r="A818">
        <v>56</v>
      </c>
      <c r="B818">
        <v>0</v>
      </c>
      <c r="C818">
        <v>21.907582457706191</v>
      </c>
      <c r="D818">
        <v>0</v>
      </c>
      <c r="E818">
        <v>1</v>
      </c>
      <c r="F818">
        <v>0</v>
      </c>
      <c r="G818">
        <v>0</v>
      </c>
      <c r="H818">
        <v>1</v>
      </c>
      <c r="I818">
        <v>0</v>
      </c>
      <c r="J818">
        <v>0</v>
      </c>
      <c r="K818">
        <v>0</v>
      </c>
      <c r="L818">
        <v>81</v>
      </c>
      <c r="M818">
        <v>24</v>
      </c>
      <c r="N818">
        <v>9</v>
      </c>
      <c r="O818" s="3">
        <v>2.6666666666666665</v>
      </c>
      <c r="P818">
        <v>9</v>
      </c>
      <c r="Q818">
        <v>54.545454545454547</v>
      </c>
      <c r="R818">
        <v>0.40981313033903582</v>
      </c>
      <c r="S818">
        <v>31.390807609430119</v>
      </c>
      <c r="T818">
        <v>3.0455942731234811</v>
      </c>
      <c r="U818">
        <v>7</v>
      </c>
      <c r="V818">
        <v>6</v>
      </c>
      <c r="W818">
        <v>58</v>
      </c>
      <c r="X818">
        <v>6</v>
      </c>
      <c r="Y818">
        <v>3</v>
      </c>
      <c r="Z818">
        <v>95</v>
      </c>
      <c r="AA818">
        <v>51</v>
      </c>
    </row>
    <row r="819" spans="1:27" hidden="1">
      <c r="A819">
        <v>56</v>
      </c>
      <c r="B819">
        <v>0</v>
      </c>
      <c r="C819">
        <v>25.63691716071142</v>
      </c>
      <c r="D819">
        <v>0</v>
      </c>
      <c r="E819">
        <v>1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53</v>
      </c>
      <c r="M819">
        <v>59</v>
      </c>
      <c r="N819">
        <v>100</v>
      </c>
      <c r="O819" s="3">
        <v>0.59</v>
      </c>
      <c r="P819">
        <v>26</v>
      </c>
      <c r="Q819">
        <v>30.256410256410259</v>
      </c>
      <c r="R819">
        <v>1.9856708469138551</v>
      </c>
      <c r="S819">
        <v>29.736895710439011</v>
      </c>
      <c r="T819">
        <v>4.7975650328375323</v>
      </c>
      <c r="U819">
        <v>21</v>
      </c>
      <c r="V819">
        <v>11</v>
      </c>
      <c r="W819">
        <v>56</v>
      </c>
      <c r="X819">
        <v>8</v>
      </c>
      <c r="Y819">
        <v>25</v>
      </c>
      <c r="Z819">
        <v>587</v>
      </c>
      <c r="AA819">
        <v>392</v>
      </c>
    </row>
    <row r="820" spans="1:27" hidden="1">
      <c r="A820">
        <v>57</v>
      </c>
      <c r="B820">
        <v>0</v>
      </c>
      <c r="C820">
        <v>28.04037814452812</v>
      </c>
      <c r="D820">
        <v>0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70</v>
      </c>
      <c r="M820">
        <v>79</v>
      </c>
      <c r="N820">
        <v>195</v>
      </c>
      <c r="O820" s="3">
        <v>0.40512820512820513</v>
      </c>
      <c r="P820">
        <v>25</v>
      </c>
      <c r="Q820">
        <v>26.158940397350989</v>
      </c>
      <c r="R820">
        <v>0.62158829411916894</v>
      </c>
      <c r="S820">
        <v>31.347886760417239</v>
      </c>
      <c r="T820">
        <v>5.1843250542050532</v>
      </c>
      <c r="U820">
        <v>18</v>
      </c>
      <c r="V820">
        <v>9</v>
      </c>
      <c r="W820">
        <v>85</v>
      </c>
      <c r="X820">
        <v>13</v>
      </c>
      <c r="Y820">
        <v>8</v>
      </c>
      <c r="Z820">
        <v>682</v>
      </c>
      <c r="AA820">
        <v>380</v>
      </c>
    </row>
    <row r="821" spans="1:27">
      <c r="A821">
        <v>29</v>
      </c>
      <c r="B821">
        <v>1</v>
      </c>
      <c r="C821">
        <v>25.099501595611169</v>
      </c>
      <c r="D821">
        <v>0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91</v>
      </c>
      <c r="M821">
        <v>577</v>
      </c>
      <c r="N821">
        <v>548</v>
      </c>
      <c r="O821" s="3">
        <v>1.052919708029197</v>
      </c>
      <c r="P821">
        <v>42</v>
      </c>
      <c r="Q821">
        <v>49.148211243611577</v>
      </c>
      <c r="R821">
        <v>0.62190525886137782</v>
      </c>
      <c r="S821">
        <v>26.29278429073171</v>
      </c>
      <c r="T821">
        <v>12.42244203528419</v>
      </c>
      <c r="U821">
        <v>6</v>
      </c>
      <c r="V821">
        <v>5</v>
      </c>
      <c r="W821">
        <v>50</v>
      </c>
      <c r="X821">
        <v>22</v>
      </c>
      <c r="Y821">
        <v>10</v>
      </c>
      <c r="Z821">
        <v>1930</v>
      </c>
      <c r="AA821">
        <v>756</v>
      </c>
    </row>
    <row r="822" spans="1:27" hidden="1">
      <c r="A822">
        <v>68</v>
      </c>
      <c r="B822">
        <v>0</v>
      </c>
      <c r="C822">
        <v>22.60026298487837</v>
      </c>
      <c r="D822">
        <v>0</v>
      </c>
      <c r="E822">
        <v>1</v>
      </c>
      <c r="F822">
        <v>0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65</v>
      </c>
      <c r="M822">
        <v>61</v>
      </c>
      <c r="N822">
        <v>128</v>
      </c>
      <c r="O822" s="3">
        <v>0.4765625</v>
      </c>
      <c r="P822">
        <v>20</v>
      </c>
      <c r="Q822">
        <v>26.637554585152841</v>
      </c>
      <c r="R822">
        <v>0.50129013991825144</v>
      </c>
      <c r="S822">
        <v>30.573105358213891</v>
      </c>
      <c r="T822">
        <v>5.0381327934102931</v>
      </c>
      <c r="U822">
        <v>15</v>
      </c>
      <c r="V822">
        <v>8</v>
      </c>
      <c r="W822">
        <v>49</v>
      </c>
      <c r="X822">
        <v>14</v>
      </c>
      <c r="Y822">
        <v>8</v>
      </c>
      <c r="Z822">
        <v>355</v>
      </c>
      <c r="AA822">
        <v>126</v>
      </c>
    </row>
    <row r="823" spans="1:27" hidden="1">
      <c r="A823">
        <v>41</v>
      </c>
      <c r="B823">
        <v>1</v>
      </c>
      <c r="C823">
        <v>26.14927685950413</v>
      </c>
      <c r="D823">
        <v>0</v>
      </c>
      <c r="E823">
        <v>0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81</v>
      </c>
      <c r="M823">
        <v>487</v>
      </c>
      <c r="N823">
        <v>92</v>
      </c>
      <c r="O823" s="3">
        <v>5.2934782608695654</v>
      </c>
      <c r="P823">
        <v>39</v>
      </c>
      <c r="Q823">
        <v>80.098684210526315</v>
      </c>
      <c r="R823">
        <v>0.70835769123194336</v>
      </c>
      <c r="S823">
        <v>30.818362934392471</v>
      </c>
      <c r="T823">
        <v>8.9627367038955175</v>
      </c>
      <c r="U823">
        <v>10</v>
      </c>
      <c r="V823">
        <v>28</v>
      </c>
      <c r="W823">
        <v>65</v>
      </c>
      <c r="X823">
        <v>10</v>
      </c>
      <c r="Y823">
        <v>13</v>
      </c>
      <c r="Z823">
        <v>1600</v>
      </c>
      <c r="AA823">
        <v>992</v>
      </c>
    </row>
    <row r="824" spans="1:27" hidden="1">
      <c r="A824">
        <v>40</v>
      </c>
      <c r="B824">
        <v>0</v>
      </c>
      <c r="C824">
        <v>19.140625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81</v>
      </c>
      <c r="M824">
        <v>133</v>
      </c>
      <c r="N824">
        <v>200</v>
      </c>
      <c r="O824" s="3">
        <v>0.66500000000000004</v>
      </c>
      <c r="P824">
        <v>23</v>
      </c>
      <c r="Q824">
        <v>36.944444444444443</v>
      </c>
      <c r="R824">
        <v>0.44406175869777542</v>
      </c>
      <c r="S824">
        <v>29.727476531055839</v>
      </c>
      <c r="T824">
        <v>6.4673863877597482</v>
      </c>
      <c r="U824">
        <v>13</v>
      </c>
      <c r="V824">
        <v>9</v>
      </c>
      <c r="W824">
        <v>40</v>
      </c>
      <c r="X824">
        <v>18</v>
      </c>
      <c r="Y824">
        <v>4</v>
      </c>
      <c r="Z824">
        <v>598</v>
      </c>
      <c r="AA824">
        <v>238</v>
      </c>
    </row>
    <row r="825" spans="1:27" hidden="1">
      <c r="A825">
        <v>39</v>
      </c>
      <c r="B825">
        <v>1</v>
      </c>
      <c r="C825">
        <v>23.30668005306752</v>
      </c>
      <c r="D825">
        <v>0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67</v>
      </c>
      <c r="M825">
        <v>170</v>
      </c>
      <c r="N825">
        <v>237</v>
      </c>
      <c r="O825" s="3">
        <v>0.71729957805907174</v>
      </c>
      <c r="P825">
        <v>26</v>
      </c>
      <c r="Q825">
        <v>38.724373576309787</v>
      </c>
      <c r="R825">
        <v>0.76082292962610931</v>
      </c>
      <c r="S825">
        <v>30.482198228879511</v>
      </c>
      <c r="T825">
        <v>7.436962547057707</v>
      </c>
      <c r="U825">
        <v>2</v>
      </c>
      <c r="V825">
        <v>5</v>
      </c>
      <c r="W825">
        <v>34</v>
      </c>
      <c r="X825">
        <v>6</v>
      </c>
      <c r="Y825">
        <v>3</v>
      </c>
      <c r="Z825">
        <v>643</v>
      </c>
      <c r="AA825">
        <v>204</v>
      </c>
    </row>
    <row r="826" spans="1:27">
      <c r="A826">
        <v>48</v>
      </c>
      <c r="B826">
        <v>1</v>
      </c>
      <c r="C826">
        <v>25.057360222195381</v>
      </c>
      <c r="D826">
        <v>0</v>
      </c>
      <c r="E826">
        <v>0</v>
      </c>
      <c r="F826">
        <v>1</v>
      </c>
      <c r="G826">
        <v>1</v>
      </c>
      <c r="H826">
        <v>1</v>
      </c>
      <c r="I826">
        <v>0</v>
      </c>
      <c r="J826">
        <v>0</v>
      </c>
      <c r="K826">
        <v>0</v>
      </c>
      <c r="L826">
        <v>67</v>
      </c>
      <c r="M826">
        <v>295</v>
      </c>
      <c r="N826">
        <v>61</v>
      </c>
      <c r="O826" s="3">
        <v>4.8360655737704921</v>
      </c>
      <c r="P826">
        <v>28</v>
      </c>
      <c r="Q826">
        <v>79.945799457994582</v>
      </c>
      <c r="R826">
        <v>0.85480972995271021</v>
      </c>
      <c r="S826">
        <v>30.84582288806978</v>
      </c>
      <c r="T826">
        <v>5.5927497788527614</v>
      </c>
      <c r="U826">
        <v>17</v>
      </c>
      <c r="V826">
        <v>30</v>
      </c>
      <c r="W826">
        <v>63</v>
      </c>
      <c r="X826">
        <v>29</v>
      </c>
      <c r="Y826">
        <v>49</v>
      </c>
      <c r="Z826">
        <v>960</v>
      </c>
      <c r="AA826">
        <v>591</v>
      </c>
    </row>
    <row r="827" spans="1:27">
      <c r="A827">
        <v>24</v>
      </c>
      <c r="B827">
        <v>1</v>
      </c>
      <c r="C827">
        <v>15.173037190082651</v>
      </c>
      <c r="D827">
        <v>0</v>
      </c>
      <c r="E827">
        <v>1</v>
      </c>
      <c r="F827">
        <v>1</v>
      </c>
      <c r="G827">
        <v>0</v>
      </c>
      <c r="H827">
        <v>1</v>
      </c>
      <c r="I827">
        <v>0</v>
      </c>
      <c r="J827">
        <v>0</v>
      </c>
      <c r="K827">
        <v>0</v>
      </c>
      <c r="L827">
        <v>78</v>
      </c>
      <c r="M827">
        <v>580</v>
      </c>
      <c r="N827">
        <v>1287</v>
      </c>
      <c r="O827" s="3">
        <v>0.45066045066045068</v>
      </c>
      <c r="P827">
        <v>53</v>
      </c>
      <c r="Q827">
        <v>29.82005141388175</v>
      </c>
      <c r="R827">
        <v>0.77616592362881887</v>
      </c>
      <c r="S827">
        <v>24.322384503795281</v>
      </c>
      <c r="T827">
        <v>13.36575335593689</v>
      </c>
      <c r="U827">
        <v>17</v>
      </c>
      <c r="V827">
        <v>43</v>
      </c>
      <c r="W827">
        <v>59</v>
      </c>
      <c r="X827">
        <v>31</v>
      </c>
      <c r="Y827">
        <v>37</v>
      </c>
      <c r="Z827">
        <v>2631</v>
      </c>
      <c r="AA827">
        <v>686</v>
      </c>
    </row>
    <row r="828" spans="1:27">
      <c r="A828">
        <v>55</v>
      </c>
      <c r="B828">
        <v>0</v>
      </c>
      <c r="C828">
        <v>20.202020202020201</v>
      </c>
      <c r="D828">
        <v>0</v>
      </c>
      <c r="E828">
        <v>0</v>
      </c>
      <c r="F828">
        <v>1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72</v>
      </c>
      <c r="M828">
        <v>45</v>
      </c>
      <c r="N828">
        <v>6</v>
      </c>
      <c r="O828" s="3">
        <v>7.5</v>
      </c>
      <c r="P828">
        <v>16</v>
      </c>
      <c r="Q828">
        <v>80.357142857142861</v>
      </c>
      <c r="R828">
        <v>1.486907613113575</v>
      </c>
      <c r="S828">
        <v>30.552301085558859</v>
      </c>
      <c r="T828">
        <v>4.4486532693031604</v>
      </c>
      <c r="U828">
        <v>8</v>
      </c>
      <c r="V828">
        <v>6</v>
      </c>
      <c r="W828">
        <v>62</v>
      </c>
      <c r="X828">
        <v>32</v>
      </c>
      <c r="Y828">
        <v>18</v>
      </c>
      <c r="Z828">
        <v>263</v>
      </c>
      <c r="AA828">
        <v>207</v>
      </c>
    </row>
    <row r="829" spans="1:27" hidden="1">
      <c r="A829">
        <v>27</v>
      </c>
      <c r="B829">
        <v>1</v>
      </c>
      <c r="C829">
        <v>23.040020199469762</v>
      </c>
      <c r="D829">
        <v>0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0</v>
      </c>
      <c r="L829">
        <v>54</v>
      </c>
      <c r="M829">
        <v>343</v>
      </c>
      <c r="N829">
        <v>304</v>
      </c>
      <c r="O829" s="3">
        <v>1.1282894736842106</v>
      </c>
      <c r="P829">
        <v>45</v>
      </c>
      <c r="Q829">
        <v>49.140401146131808</v>
      </c>
      <c r="R829">
        <v>1.99731740562813</v>
      </c>
      <c r="S829">
        <v>27.089044450795519</v>
      </c>
      <c r="T829">
        <v>9.1116497440995605</v>
      </c>
      <c r="U829">
        <v>2</v>
      </c>
      <c r="V829">
        <v>27</v>
      </c>
      <c r="W829">
        <v>50</v>
      </c>
      <c r="X829">
        <v>12</v>
      </c>
      <c r="Y829">
        <v>4</v>
      </c>
      <c r="Z829">
        <v>1913</v>
      </c>
      <c r="AA829">
        <v>1215</v>
      </c>
    </row>
    <row r="830" spans="1:27" hidden="1">
      <c r="A830">
        <v>68</v>
      </c>
      <c r="B830">
        <v>1</v>
      </c>
      <c r="C830">
        <v>21.875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66</v>
      </c>
      <c r="M830">
        <v>294</v>
      </c>
      <c r="N830">
        <v>106</v>
      </c>
      <c r="O830" s="3">
        <v>2.7735849056603774</v>
      </c>
      <c r="P830">
        <v>40</v>
      </c>
      <c r="Q830">
        <v>66.515837104072403</v>
      </c>
      <c r="R830">
        <v>0.98634511746107323</v>
      </c>
      <c r="S830">
        <v>30.583262450667711</v>
      </c>
      <c r="T830">
        <v>7.18797734331672</v>
      </c>
      <c r="U830">
        <v>1</v>
      </c>
      <c r="V830">
        <v>23</v>
      </c>
      <c r="W830">
        <v>80</v>
      </c>
      <c r="X830">
        <v>9</v>
      </c>
      <c r="Y830">
        <v>5</v>
      </c>
      <c r="Z830">
        <v>1565</v>
      </c>
      <c r="AA830">
        <v>1123</v>
      </c>
    </row>
    <row r="831" spans="1:27" hidden="1">
      <c r="A831">
        <v>68</v>
      </c>
      <c r="B831">
        <v>1</v>
      </c>
      <c r="C831">
        <v>18.069727891156461</v>
      </c>
      <c r="D831">
        <v>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80</v>
      </c>
      <c r="M831">
        <v>56</v>
      </c>
      <c r="N831">
        <v>49</v>
      </c>
      <c r="O831" s="3">
        <v>1.1428571428571428</v>
      </c>
      <c r="P831">
        <v>19</v>
      </c>
      <c r="Q831">
        <v>24.778761061946899</v>
      </c>
      <c r="R831">
        <v>0.87475975186902022</v>
      </c>
      <c r="S831">
        <v>30.315073683742721</v>
      </c>
      <c r="T831">
        <v>4.5442623142794201</v>
      </c>
      <c r="U831">
        <v>5</v>
      </c>
      <c r="V831">
        <v>7</v>
      </c>
      <c r="W831">
        <v>94</v>
      </c>
      <c r="X831">
        <v>1</v>
      </c>
      <c r="Y831">
        <v>1</v>
      </c>
      <c r="Z831">
        <v>339</v>
      </c>
      <c r="AA831">
        <v>113</v>
      </c>
    </row>
    <row r="832" spans="1:27" hidden="1">
      <c r="A832">
        <v>60</v>
      </c>
      <c r="B832">
        <v>1</v>
      </c>
      <c r="C832">
        <v>23.22543184787342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84</v>
      </c>
      <c r="M832">
        <v>4166</v>
      </c>
      <c r="N832">
        <v>7634</v>
      </c>
      <c r="O832" s="3">
        <v>0.54571653130730946</v>
      </c>
      <c r="P832">
        <v>164</v>
      </c>
      <c r="Q832">
        <v>20.98740554156171</v>
      </c>
      <c r="R832">
        <v>0.77321943631386669</v>
      </c>
      <c r="S832">
        <v>28.402085654716601</v>
      </c>
      <c r="T832">
        <v>42.2073240873016</v>
      </c>
      <c r="U832">
        <v>1</v>
      </c>
      <c r="V832">
        <v>0</v>
      </c>
      <c r="W832">
        <v>24</v>
      </c>
      <c r="X832">
        <v>0</v>
      </c>
      <c r="Y832">
        <v>0</v>
      </c>
      <c r="Z832">
        <v>23024</v>
      </c>
      <c r="AA832">
        <v>3174</v>
      </c>
    </row>
    <row r="833" spans="1:27" hidden="1">
      <c r="A833">
        <v>65</v>
      </c>
      <c r="B833">
        <v>1</v>
      </c>
      <c r="C833">
        <v>27.1484375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61</v>
      </c>
      <c r="M833">
        <v>100</v>
      </c>
      <c r="N833">
        <v>258</v>
      </c>
      <c r="O833" s="3">
        <v>0.38759689922480622</v>
      </c>
      <c r="P833">
        <v>30</v>
      </c>
      <c r="Q833">
        <v>24.27184466019418</v>
      </c>
      <c r="R833">
        <v>1.1466085815085809</v>
      </c>
      <c r="S833">
        <v>30.547357725837539</v>
      </c>
      <c r="T833">
        <v>5.6430401879776584</v>
      </c>
      <c r="U833">
        <v>1</v>
      </c>
      <c r="V833">
        <v>0</v>
      </c>
      <c r="W833">
        <v>63</v>
      </c>
      <c r="X833">
        <v>0</v>
      </c>
      <c r="Y833">
        <v>0</v>
      </c>
      <c r="Z833">
        <v>819</v>
      </c>
      <c r="AA833">
        <v>407</v>
      </c>
    </row>
    <row r="834" spans="1:27" hidden="1">
      <c r="A834">
        <v>69</v>
      </c>
      <c r="B834">
        <v>1</v>
      </c>
      <c r="C834">
        <v>24.567474048442911</v>
      </c>
      <c r="D834">
        <v>1</v>
      </c>
      <c r="E834">
        <v>0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76</v>
      </c>
      <c r="M834">
        <v>166</v>
      </c>
      <c r="N834">
        <v>35</v>
      </c>
      <c r="O834" s="3">
        <v>4.7428571428571429</v>
      </c>
      <c r="P834">
        <v>19</v>
      </c>
      <c r="Q834">
        <v>78.301886792452834</v>
      </c>
      <c r="R834">
        <v>1.7683773544266199</v>
      </c>
      <c r="S834">
        <v>31.660405847734129</v>
      </c>
      <c r="T834">
        <v>6.0855759060384047</v>
      </c>
      <c r="U834">
        <v>1</v>
      </c>
      <c r="V834">
        <v>7</v>
      </c>
      <c r="W834">
        <v>64</v>
      </c>
      <c r="X834">
        <v>0</v>
      </c>
      <c r="Y834">
        <v>0</v>
      </c>
      <c r="Z834">
        <v>401</v>
      </c>
      <c r="AA834">
        <v>189</v>
      </c>
    </row>
    <row r="835" spans="1:27" hidden="1">
      <c r="A835">
        <v>57</v>
      </c>
      <c r="B835">
        <v>1</v>
      </c>
      <c r="C835">
        <v>25.68007405416704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76</v>
      </c>
      <c r="M835">
        <v>83</v>
      </c>
      <c r="N835">
        <v>54</v>
      </c>
      <c r="O835" s="3">
        <v>1.537037037037037</v>
      </c>
      <c r="P835">
        <v>16</v>
      </c>
      <c r="Q835">
        <v>55.70469798657718</v>
      </c>
      <c r="R835">
        <v>0.99765784952333947</v>
      </c>
      <c r="S835">
        <v>31.44771581737422</v>
      </c>
      <c r="T835">
        <v>4.8842902520850799</v>
      </c>
      <c r="U835">
        <v>0</v>
      </c>
      <c r="V835">
        <v>8</v>
      </c>
      <c r="W835">
        <v>50</v>
      </c>
      <c r="X835">
        <v>1</v>
      </c>
      <c r="Y835">
        <v>0</v>
      </c>
      <c r="Z835">
        <v>235</v>
      </c>
      <c r="AA835">
        <v>86</v>
      </c>
    </row>
    <row r="836" spans="1:27" hidden="1">
      <c r="A836">
        <v>66</v>
      </c>
      <c r="B836">
        <v>1</v>
      </c>
      <c r="C836">
        <v>26.078971533516992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56</v>
      </c>
      <c r="M836">
        <v>939</v>
      </c>
      <c r="N836">
        <v>601</v>
      </c>
      <c r="O836" s="3">
        <v>1.562396006655574</v>
      </c>
      <c r="P836">
        <v>60</v>
      </c>
      <c r="Q836">
        <v>57.999982705010488</v>
      </c>
      <c r="R836">
        <v>2.0975616790506351</v>
      </c>
      <c r="S836">
        <v>27.986893428751092</v>
      </c>
      <c r="T836">
        <v>11.115565699855701</v>
      </c>
      <c r="U836">
        <v>1</v>
      </c>
      <c r="V836">
        <v>11</v>
      </c>
      <c r="W836">
        <v>49</v>
      </c>
      <c r="X836">
        <v>1</v>
      </c>
      <c r="Y836">
        <v>1</v>
      </c>
      <c r="Z836">
        <v>3519</v>
      </c>
      <c r="AA836">
        <v>1900.0340000000001</v>
      </c>
    </row>
    <row r="837" spans="1:27" hidden="1">
      <c r="A837">
        <v>65</v>
      </c>
      <c r="B837">
        <v>1</v>
      </c>
      <c r="C837">
        <v>23.733238400379729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73</v>
      </c>
      <c r="M837">
        <v>60</v>
      </c>
      <c r="N837">
        <v>28</v>
      </c>
      <c r="O837" s="3">
        <v>2.1428571428571428</v>
      </c>
      <c r="P837">
        <v>19</v>
      </c>
      <c r="Q837">
        <v>61.224489795918373</v>
      </c>
      <c r="R837">
        <v>0.99803291365975821</v>
      </c>
      <c r="S837">
        <v>31.685567559087211</v>
      </c>
      <c r="T837">
        <v>5.1212859033653242</v>
      </c>
      <c r="U837">
        <v>1</v>
      </c>
      <c r="V837">
        <v>8</v>
      </c>
      <c r="W837">
        <v>55</v>
      </c>
      <c r="X837">
        <v>3</v>
      </c>
      <c r="Y837">
        <v>1</v>
      </c>
      <c r="Z837">
        <v>374</v>
      </c>
      <c r="AA837">
        <v>276</v>
      </c>
    </row>
    <row r="838" spans="1:27" hidden="1">
      <c r="A838">
        <v>61</v>
      </c>
      <c r="B838">
        <v>1</v>
      </c>
      <c r="C838">
        <v>28.373702422145328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63</v>
      </c>
      <c r="M838">
        <v>208</v>
      </c>
      <c r="N838">
        <v>139</v>
      </c>
      <c r="O838" s="3">
        <v>1.4964028776978417</v>
      </c>
      <c r="P838">
        <v>39</v>
      </c>
      <c r="Q838">
        <v>55.319148936170222</v>
      </c>
      <c r="R838">
        <v>0.65399264735040219</v>
      </c>
      <c r="S838">
        <v>30.35668667717367</v>
      </c>
      <c r="T838">
        <v>6.2245729661581652</v>
      </c>
      <c r="U838">
        <v>1</v>
      </c>
      <c r="V838">
        <v>2</v>
      </c>
      <c r="W838">
        <v>49</v>
      </c>
      <c r="X838">
        <v>4</v>
      </c>
      <c r="Y838">
        <v>0</v>
      </c>
      <c r="Z838">
        <v>1536</v>
      </c>
      <c r="AA838">
        <v>1160</v>
      </c>
    </row>
    <row r="839" spans="1:27" hidden="1">
      <c r="A839">
        <v>59</v>
      </c>
      <c r="B839">
        <v>0</v>
      </c>
      <c r="C839">
        <v>19.140625</v>
      </c>
      <c r="D839">
        <v>0</v>
      </c>
      <c r="E839">
        <v>1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81</v>
      </c>
      <c r="M839">
        <v>31</v>
      </c>
      <c r="N839">
        <v>29</v>
      </c>
      <c r="O839" s="8">
        <f>L839/M839</f>
        <v>2.6129032258064515</v>
      </c>
      <c r="P839">
        <v>12</v>
      </c>
      <c r="Q839">
        <v>38.271604938271608</v>
      </c>
      <c r="R839">
        <v>0.37795469459548742</v>
      </c>
      <c r="S839">
        <v>30.676734803400379</v>
      </c>
      <c r="T839">
        <v>3.7638872949807398</v>
      </c>
      <c r="U839">
        <v>5</v>
      </c>
      <c r="V839">
        <v>34</v>
      </c>
      <c r="W839">
        <v>59</v>
      </c>
      <c r="X839">
        <v>22</v>
      </c>
      <c r="Y839">
        <v>14</v>
      </c>
      <c r="Z839">
        <v>156</v>
      </c>
      <c r="AA839">
        <v>75</v>
      </c>
    </row>
    <row r="840" spans="1:27">
      <c r="A840">
        <v>30</v>
      </c>
      <c r="B840">
        <v>0</v>
      </c>
      <c r="C840">
        <v>26.729927495071671</v>
      </c>
      <c r="D840">
        <v>0</v>
      </c>
      <c r="E840">
        <v>1</v>
      </c>
      <c r="F840">
        <v>1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63</v>
      </c>
      <c r="M840">
        <v>225</v>
      </c>
      <c r="N840">
        <v>373</v>
      </c>
      <c r="O840" s="8">
        <f>L840/M840</f>
        <v>0.28000000000000003</v>
      </c>
      <c r="P840">
        <v>32</v>
      </c>
      <c r="Q840">
        <v>34.668721109399073</v>
      </c>
      <c r="R840">
        <v>0.80851914055605567</v>
      </c>
      <c r="S840">
        <v>31.316819223891091</v>
      </c>
      <c r="T840">
        <v>7.3059294656533504</v>
      </c>
      <c r="U840">
        <v>20</v>
      </c>
      <c r="V840">
        <v>37</v>
      </c>
      <c r="W840">
        <v>69</v>
      </c>
      <c r="X840">
        <v>37</v>
      </c>
      <c r="Y840">
        <v>32</v>
      </c>
      <c r="Z840">
        <v>1082</v>
      </c>
      <c r="AA840">
        <v>433</v>
      </c>
    </row>
    <row r="841" spans="1:27" hidden="1">
      <c r="A841">
        <v>57</v>
      </c>
      <c r="B841">
        <v>0</v>
      </c>
      <c r="C841">
        <v>25.63691716071142</v>
      </c>
      <c r="D841">
        <v>0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  <c r="K841">
        <v>0</v>
      </c>
      <c r="L841">
        <v>63</v>
      </c>
      <c r="M841">
        <v>268</v>
      </c>
      <c r="N841">
        <v>147</v>
      </c>
      <c r="O841" s="3">
        <v>1.8231292517006803</v>
      </c>
      <c r="P841">
        <v>31</v>
      </c>
      <c r="Q841">
        <v>61.609195402298852</v>
      </c>
      <c r="R841">
        <v>0.6302150315222631</v>
      </c>
      <c r="S841">
        <v>30.342700743874289</v>
      </c>
      <c r="T841">
        <v>5.4790680307165598</v>
      </c>
      <c r="U841">
        <v>3</v>
      </c>
      <c r="V841">
        <v>6</v>
      </c>
      <c r="W841">
        <v>37</v>
      </c>
      <c r="X841">
        <v>10</v>
      </c>
      <c r="Y841">
        <v>5</v>
      </c>
      <c r="Z841">
        <v>1052</v>
      </c>
      <c r="AA841">
        <v>617</v>
      </c>
    </row>
    <row r="842" spans="1:27">
      <c r="A842">
        <v>49</v>
      </c>
      <c r="B842">
        <v>0</v>
      </c>
      <c r="C842">
        <v>20.568806613662431</v>
      </c>
      <c r="D842">
        <v>0</v>
      </c>
      <c r="E842">
        <v>1</v>
      </c>
      <c r="F842">
        <v>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61</v>
      </c>
      <c r="M842">
        <v>180</v>
      </c>
      <c r="N842">
        <v>275</v>
      </c>
      <c r="O842" s="8">
        <f>L842/M842</f>
        <v>0.33888888888888891</v>
      </c>
      <c r="P842">
        <v>33</v>
      </c>
      <c r="Q842">
        <v>35.502958579881657</v>
      </c>
      <c r="R842">
        <v>0.67995385052560597</v>
      </c>
      <c r="S842">
        <v>27.87336523560408</v>
      </c>
      <c r="T842">
        <v>7.0919800962677551</v>
      </c>
      <c r="U842">
        <v>7</v>
      </c>
      <c r="V842">
        <v>30</v>
      </c>
      <c r="W842">
        <v>44</v>
      </c>
      <c r="X842">
        <v>15</v>
      </c>
      <c r="Y842">
        <v>11</v>
      </c>
      <c r="Z842">
        <v>1022</v>
      </c>
      <c r="AA842">
        <v>515</v>
      </c>
    </row>
    <row r="843" spans="1:27" hidden="1">
      <c r="A843">
        <v>60</v>
      </c>
      <c r="B843">
        <v>1</v>
      </c>
      <c r="C843">
        <v>23.051754907792979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87</v>
      </c>
      <c r="M843">
        <v>30</v>
      </c>
      <c r="N843">
        <v>16</v>
      </c>
      <c r="O843" s="3">
        <v>1.875</v>
      </c>
      <c r="P843">
        <v>12</v>
      </c>
      <c r="Q843">
        <v>49.180327868852459</v>
      </c>
      <c r="R843">
        <v>1.0126098820393481</v>
      </c>
      <c r="S843">
        <v>31.7143597501084</v>
      </c>
      <c r="T843">
        <v>3.541345483482917</v>
      </c>
      <c r="U843">
        <v>2</v>
      </c>
      <c r="V843">
        <v>16</v>
      </c>
      <c r="W843">
        <v>58</v>
      </c>
      <c r="X843">
        <v>2</v>
      </c>
      <c r="Y843">
        <v>1</v>
      </c>
      <c r="Z843">
        <v>168</v>
      </c>
      <c r="AA843">
        <v>107</v>
      </c>
    </row>
    <row r="844" spans="1:27" hidden="1">
      <c r="A844">
        <v>46</v>
      </c>
      <c r="B844">
        <v>0</v>
      </c>
      <c r="C844">
        <v>19.53125</v>
      </c>
      <c r="D844">
        <v>0</v>
      </c>
      <c r="E844">
        <v>1</v>
      </c>
      <c r="F844">
        <v>0</v>
      </c>
      <c r="G844">
        <v>1</v>
      </c>
      <c r="H844">
        <v>1</v>
      </c>
      <c r="I844">
        <v>0</v>
      </c>
      <c r="J844">
        <v>0</v>
      </c>
      <c r="K844">
        <v>0</v>
      </c>
      <c r="L844">
        <v>61</v>
      </c>
      <c r="M844">
        <v>91</v>
      </c>
      <c r="N844">
        <v>135</v>
      </c>
      <c r="O844" s="3">
        <v>0.67407407407407405</v>
      </c>
      <c r="P844">
        <v>27</v>
      </c>
      <c r="Q844">
        <v>27.327327327327328</v>
      </c>
      <c r="R844">
        <v>0.82870571251236858</v>
      </c>
      <c r="S844">
        <v>28.526344413848928</v>
      </c>
      <c r="T844">
        <v>6.0355403666703671</v>
      </c>
      <c r="U844">
        <v>17</v>
      </c>
      <c r="V844">
        <v>8</v>
      </c>
      <c r="W844">
        <v>28</v>
      </c>
      <c r="X844">
        <v>8</v>
      </c>
      <c r="Y844">
        <v>6</v>
      </c>
      <c r="Z844">
        <v>662</v>
      </c>
      <c r="AA844">
        <v>329</v>
      </c>
    </row>
    <row r="845" spans="1:27" hidden="1">
      <c r="A845">
        <v>38</v>
      </c>
      <c r="B845">
        <v>0</v>
      </c>
      <c r="C845">
        <v>24.65303140978817</v>
      </c>
      <c r="D845">
        <v>0</v>
      </c>
      <c r="E845">
        <v>0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63</v>
      </c>
      <c r="M845">
        <v>125</v>
      </c>
      <c r="N845">
        <v>155</v>
      </c>
      <c r="O845" s="3">
        <v>0.80645161290322576</v>
      </c>
      <c r="P845">
        <v>26</v>
      </c>
      <c r="Q845">
        <v>40.064102564102562</v>
      </c>
      <c r="R845">
        <v>0.675957297412494</v>
      </c>
      <c r="S845">
        <v>29.86292373811489</v>
      </c>
      <c r="T845">
        <v>6.5716362839931408</v>
      </c>
      <c r="U845">
        <v>7</v>
      </c>
      <c r="V845">
        <v>6</v>
      </c>
      <c r="W845">
        <v>19</v>
      </c>
      <c r="X845">
        <v>7</v>
      </c>
      <c r="Y845">
        <v>7</v>
      </c>
      <c r="Z845">
        <v>715</v>
      </c>
      <c r="AA845">
        <v>403</v>
      </c>
    </row>
    <row r="846" spans="1:27">
      <c r="A846">
        <v>52</v>
      </c>
      <c r="B846">
        <v>1</v>
      </c>
      <c r="C846">
        <v>17.578125</v>
      </c>
      <c r="D846">
        <v>0</v>
      </c>
      <c r="E846">
        <v>1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64</v>
      </c>
      <c r="M846">
        <v>208</v>
      </c>
      <c r="N846">
        <v>769</v>
      </c>
      <c r="O846" s="3">
        <v>0.270481144343303</v>
      </c>
      <c r="P846">
        <v>45</v>
      </c>
      <c r="Q846">
        <v>16.442687747035571</v>
      </c>
      <c r="R846">
        <v>0.80384064306893011</v>
      </c>
      <c r="S846">
        <v>28.316953584111861</v>
      </c>
      <c r="T846">
        <v>9.1231447854505134</v>
      </c>
      <c r="U846">
        <v>9</v>
      </c>
      <c r="V846">
        <v>13</v>
      </c>
      <c r="W846">
        <v>70</v>
      </c>
      <c r="X846">
        <v>9</v>
      </c>
      <c r="Y846">
        <v>6</v>
      </c>
      <c r="Z846">
        <v>1555</v>
      </c>
      <c r="AA846">
        <v>290</v>
      </c>
    </row>
    <row r="847" spans="1:27" hidden="1">
      <c r="A847">
        <v>42</v>
      </c>
      <c r="B847">
        <v>0</v>
      </c>
      <c r="C847">
        <v>21.936347412254619</v>
      </c>
      <c r="D847">
        <v>0</v>
      </c>
      <c r="E847">
        <v>0</v>
      </c>
      <c r="F847">
        <v>0</v>
      </c>
      <c r="G847">
        <v>1</v>
      </c>
      <c r="H847">
        <v>1</v>
      </c>
      <c r="I847">
        <v>0</v>
      </c>
      <c r="J847">
        <v>0</v>
      </c>
      <c r="K847">
        <v>0</v>
      </c>
      <c r="L847">
        <v>79</v>
      </c>
      <c r="M847">
        <v>67</v>
      </c>
      <c r="N847">
        <v>253</v>
      </c>
      <c r="O847" s="3">
        <v>0.2648221343873518</v>
      </c>
      <c r="P847">
        <v>24</v>
      </c>
      <c r="Q847">
        <v>14.92204899777283</v>
      </c>
      <c r="R847">
        <v>0.3699340306123301</v>
      </c>
      <c r="S847">
        <v>30.055544102099599</v>
      </c>
      <c r="T847">
        <v>7.6653906632254953</v>
      </c>
      <c r="U847">
        <v>12</v>
      </c>
      <c r="V847">
        <v>6</v>
      </c>
      <c r="W847">
        <v>65</v>
      </c>
      <c r="X847">
        <v>17</v>
      </c>
      <c r="Y847">
        <v>24</v>
      </c>
      <c r="Z847">
        <v>581</v>
      </c>
      <c r="AA847">
        <v>132</v>
      </c>
    </row>
    <row r="848" spans="1:27" hidden="1">
      <c r="A848">
        <v>23</v>
      </c>
      <c r="B848">
        <v>0</v>
      </c>
      <c r="C848">
        <v>16.796875</v>
      </c>
      <c r="D848">
        <v>0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74</v>
      </c>
      <c r="M848">
        <v>481</v>
      </c>
      <c r="N848">
        <v>232</v>
      </c>
      <c r="O848" s="3">
        <v>2.0732758620689653</v>
      </c>
      <c r="P848">
        <v>41</v>
      </c>
      <c r="Q848">
        <v>65.353260869565219</v>
      </c>
      <c r="R848">
        <v>0.41316900123790479</v>
      </c>
      <c r="S848">
        <v>29.996460436943341</v>
      </c>
      <c r="T848">
        <v>10.214869218390779</v>
      </c>
      <c r="U848">
        <v>4</v>
      </c>
      <c r="V848">
        <v>10</v>
      </c>
      <c r="W848">
        <v>48</v>
      </c>
      <c r="X848">
        <v>26</v>
      </c>
      <c r="Y848">
        <v>14</v>
      </c>
      <c r="Z848">
        <v>1926</v>
      </c>
      <c r="AA848">
        <v>1190</v>
      </c>
    </row>
    <row r="849" spans="1:27" hidden="1">
      <c r="A849">
        <v>65</v>
      </c>
      <c r="B849">
        <v>1</v>
      </c>
      <c r="C849">
        <v>29.745808545159552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0</v>
      </c>
      <c r="L849">
        <v>76</v>
      </c>
      <c r="M849">
        <v>53</v>
      </c>
      <c r="N849">
        <v>43</v>
      </c>
      <c r="O849" s="3">
        <v>1.2325581395348837</v>
      </c>
      <c r="P849">
        <v>16</v>
      </c>
      <c r="Q849">
        <v>45.689655172413786</v>
      </c>
      <c r="R849">
        <v>1.0340893392036179</v>
      </c>
      <c r="S849">
        <v>31.716138121239251</v>
      </c>
      <c r="T849">
        <v>4.3826269534313704</v>
      </c>
      <c r="U849">
        <v>0</v>
      </c>
      <c r="V849">
        <v>0</v>
      </c>
      <c r="W849">
        <v>86</v>
      </c>
      <c r="X849">
        <v>0</v>
      </c>
      <c r="Y849">
        <v>0</v>
      </c>
      <c r="Z849">
        <v>288</v>
      </c>
      <c r="AA849">
        <v>172</v>
      </c>
    </row>
    <row r="850" spans="1:27" hidden="1">
      <c r="A850">
        <v>21</v>
      </c>
      <c r="B850">
        <v>0</v>
      </c>
      <c r="C850">
        <v>31.245237006553872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92</v>
      </c>
      <c r="M850">
        <v>119</v>
      </c>
      <c r="N850">
        <v>386</v>
      </c>
      <c r="O850" s="3">
        <v>0.30829015544041449</v>
      </c>
      <c r="P850">
        <v>26</v>
      </c>
      <c r="Q850">
        <v>20.695652173913039</v>
      </c>
      <c r="R850">
        <v>0.75033039298194493</v>
      </c>
      <c r="S850">
        <v>31.299585613571839</v>
      </c>
      <c r="T850">
        <v>8.6536697912272924</v>
      </c>
      <c r="U850">
        <v>15</v>
      </c>
      <c r="V850">
        <v>13</v>
      </c>
      <c r="W850">
        <v>49</v>
      </c>
      <c r="X850">
        <v>27</v>
      </c>
      <c r="Y850">
        <v>20</v>
      </c>
      <c r="Z850">
        <v>763</v>
      </c>
      <c r="AA850">
        <v>188</v>
      </c>
    </row>
    <row r="851" spans="1:27" hidden="1">
      <c r="A851">
        <v>53</v>
      </c>
      <c r="B851">
        <v>0</v>
      </c>
      <c r="C851">
        <v>23.1404958677686</v>
      </c>
      <c r="D851">
        <v>0</v>
      </c>
      <c r="E851">
        <v>1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63</v>
      </c>
      <c r="M851">
        <v>849</v>
      </c>
      <c r="N851">
        <v>155</v>
      </c>
      <c r="O851" s="3">
        <v>5.4774193548387098</v>
      </c>
      <c r="P851">
        <v>41</v>
      </c>
      <c r="Q851">
        <v>81.556195965417871</v>
      </c>
      <c r="R851">
        <v>0.86809413808988456</v>
      </c>
      <c r="S851">
        <v>29.086866075399062</v>
      </c>
      <c r="T851">
        <v>8.6445607200109791</v>
      </c>
      <c r="U851">
        <v>13</v>
      </c>
      <c r="V851">
        <v>33</v>
      </c>
      <c r="W851">
        <v>59</v>
      </c>
      <c r="X851">
        <v>10</v>
      </c>
      <c r="Y851">
        <v>22</v>
      </c>
      <c r="Z851">
        <v>1639</v>
      </c>
      <c r="AA851">
        <v>598</v>
      </c>
    </row>
    <row r="852" spans="1:27" hidden="1">
      <c r="A852">
        <v>63</v>
      </c>
      <c r="B852">
        <v>1</v>
      </c>
      <c r="C852">
        <v>25.510204081632661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48</v>
      </c>
      <c r="M852">
        <v>133</v>
      </c>
      <c r="N852">
        <v>183</v>
      </c>
      <c r="O852" s="3">
        <v>0.72677595628415304</v>
      </c>
      <c r="P852">
        <v>33</v>
      </c>
      <c r="Q852">
        <v>35.561497326203209</v>
      </c>
      <c r="R852">
        <v>1.890483734126023</v>
      </c>
      <c r="S852">
        <v>29.75598470956951</v>
      </c>
      <c r="T852">
        <v>5.7723303968253994</v>
      </c>
      <c r="U852">
        <v>5</v>
      </c>
      <c r="V852">
        <v>32</v>
      </c>
      <c r="W852">
        <v>41</v>
      </c>
      <c r="X852">
        <v>5</v>
      </c>
      <c r="Y852">
        <v>2</v>
      </c>
      <c r="Z852">
        <v>939</v>
      </c>
      <c r="AA852">
        <v>565</v>
      </c>
    </row>
    <row r="853" spans="1:27">
      <c r="A853">
        <v>21</v>
      </c>
      <c r="B853">
        <v>1</v>
      </c>
      <c r="C853">
        <v>20.45288531775018</v>
      </c>
      <c r="D853">
        <v>0</v>
      </c>
      <c r="E853">
        <v>1</v>
      </c>
      <c r="F853">
        <v>1</v>
      </c>
      <c r="G853">
        <v>0</v>
      </c>
      <c r="H853">
        <v>1</v>
      </c>
      <c r="I853">
        <v>0</v>
      </c>
      <c r="J853">
        <v>0</v>
      </c>
      <c r="K853">
        <v>0</v>
      </c>
      <c r="L853">
        <v>76</v>
      </c>
      <c r="M853">
        <v>734</v>
      </c>
      <c r="N853">
        <v>360</v>
      </c>
      <c r="O853" s="3">
        <v>2.0388888888888888</v>
      </c>
      <c r="P853">
        <v>41</v>
      </c>
      <c r="Q853">
        <v>61.993243243243242</v>
      </c>
      <c r="R853">
        <v>0.52354474086216873</v>
      </c>
      <c r="S853">
        <v>30.802636065240812</v>
      </c>
      <c r="T853">
        <v>10.191356586954139</v>
      </c>
      <c r="U853">
        <v>8</v>
      </c>
      <c r="V853">
        <v>26</v>
      </c>
      <c r="W853">
        <v>72</v>
      </c>
      <c r="X853">
        <v>28</v>
      </c>
      <c r="Y853">
        <v>14</v>
      </c>
      <c r="Z853">
        <v>1812</v>
      </c>
      <c r="AA853">
        <v>628</v>
      </c>
    </row>
    <row r="854" spans="1:27" hidden="1">
      <c r="A854">
        <v>23</v>
      </c>
      <c r="B854">
        <v>0</v>
      </c>
      <c r="C854">
        <v>21.45357371372652</v>
      </c>
      <c r="D854">
        <v>0</v>
      </c>
      <c r="E854">
        <v>1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0</v>
      </c>
      <c r="L854">
        <v>71</v>
      </c>
      <c r="M854">
        <v>612</v>
      </c>
      <c r="N854">
        <v>670</v>
      </c>
      <c r="O854" s="3">
        <v>0.91343283582089552</v>
      </c>
      <c r="P854">
        <v>50</v>
      </c>
      <c r="Q854">
        <v>45.166051660516608</v>
      </c>
      <c r="R854">
        <v>0.44600855199747341</v>
      </c>
      <c r="S854">
        <v>30.877729876913509</v>
      </c>
      <c r="T854">
        <v>10.486342551071459</v>
      </c>
      <c r="U854">
        <v>11</v>
      </c>
      <c r="V854">
        <v>44</v>
      </c>
      <c r="W854">
        <v>65</v>
      </c>
      <c r="X854">
        <v>17</v>
      </c>
      <c r="Y854">
        <v>20</v>
      </c>
      <c r="Z854">
        <v>2430</v>
      </c>
      <c r="AA854">
        <v>1075</v>
      </c>
    </row>
    <row r="855" spans="1:27" hidden="1">
      <c r="A855">
        <v>67</v>
      </c>
      <c r="B855">
        <v>1</v>
      </c>
      <c r="C855">
        <v>23.661438615467819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68</v>
      </c>
      <c r="M855">
        <v>96</v>
      </c>
      <c r="N855">
        <v>62</v>
      </c>
      <c r="O855" s="3">
        <v>1.5483870967741935</v>
      </c>
      <c r="P855">
        <v>17</v>
      </c>
      <c r="Q855">
        <v>53.631284916201118</v>
      </c>
      <c r="R855">
        <v>1.0352737066813129</v>
      </c>
      <c r="S855">
        <v>31.075638714944571</v>
      </c>
      <c r="T855">
        <v>5.0430159104544883</v>
      </c>
      <c r="U855">
        <v>0</v>
      </c>
      <c r="V855">
        <v>0</v>
      </c>
      <c r="W855">
        <v>49</v>
      </c>
      <c r="X855">
        <v>0</v>
      </c>
      <c r="Y855">
        <v>0</v>
      </c>
      <c r="Z855">
        <v>292</v>
      </c>
      <c r="AA855">
        <v>113</v>
      </c>
    </row>
    <row r="856" spans="1:27" hidden="1">
      <c r="A856">
        <v>39</v>
      </c>
      <c r="B856">
        <v>0</v>
      </c>
      <c r="C856">
        <v>19.879102600511171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97</v>
      </c>
      <c r="M856">
        <v>7534</v>
      </c>
      <c r="N856">
        <v>10586</v>
      </c>
      <c r="O856" s="3">
        <v>0.71169469110145478</v>
      </c>
      <c r="P856">
        <v>242</v>
      </c>
      <c r="Q856">
        <v>27.688349871370821</v>
      </c>
      <c r="R856">
        <v>0.58913807187473521</v>
      </c>
      <c r="S856">
        <v>28.320243631095341</v>
      </c>
      <c r="T856">
        <v>42.912299126984138</v>
      </c>
      <c r="U856">
        <v>4</v>
      </c>
      <c r="V856">
        <v>0</v>
      </c>
      <c r="W856">
        <v>46</v>
      </c>
      <c r="X856">
        <v>7</v>
      </c>
      <c r="Y856">
        <v>2</v>
      </c>
      <c r="Z856">
        <v>38335</v>
      </c>
      <c r="AA856">
        <v>11125</v>
      </c>
    </row>
    <row r="857" spans="1:27" hidden="1">
      <c r="A857">
        <v>69</v>
      </c>
      <c r="B857">
        <v>1</v>
      </c>
      <c r="C857">
        <v>22.985397512168738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81</v>
      </c>
      <c r="M857">
        <v>348</v>
      </c>
      <c r="N857">
        <v>1082</v>
      </c>
      <c r="O857" s="3">
        <v>0.32162661737523107</v>
      </c>
      <c r="P857">
        <v>58</v>
      </c>
      <c r="Q857">
        <v>15.570469798657721</v>
      </c>
      <c r="R857">
        <v>0.40877422352061432</v>
      </c>
      <c r="S857">
        <v>25.27410387180646</v>
      </c>
      <c r="T857">
        <v>11.21953516354016</v>
      </c>
      <c r="U857">
        <v>0</v>
      </c>
      <c r="V857">
        <v>4</v>
      </c>
      <c r="W857">
        <v>64</v>
      </c>
      <c r="X857">
        <v>5</v>
      </c>
      <c r="Y857">
        <v>0</v>
      </c>
      <c r="Z857">
        <v>2825</v>
      </c>
      <c r="AA857">
        <v>590</v>
      </c>
    </row>
    <row r="858" spans="1:27" hidden="1">
      <c r="A858">
        <v>51</v>
      </c>
      <c r="B858">
        <v>0</v>
      </c>
      <c r="C858">
        <v>24.302487059714679</v>
      </c>
      <c r="D858">
        <v>0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61</v>
      </c>
      <c r="M858">
        <v>142</v>
      </c>
      <c r="N858">
        <v>93</v>
      </c>
      <c r="O858" s="3">
        <v>1.5268817204301075</v>
      </c>
      <c r="P858">
        <v>27</v>
      </c>
      <c r="Q858">
        <v>53.183520599250933</v>
      </c>
      <c r="R858">
        <v>0.76806585546578687</v>
      </c>
      <c r="S858">
        <v>30.418206802815821</v>
      </c>
      <c r="T858">
        <v>5.5838333782754743</v>
      </c>
      <c r="U858">
        <v>7</v>
      </c>
      <c r="V858">
        <v>12</v>
      </c>
      <c r="W858">
        <v>54</v>
      </c>
      <c r="X858">
        <v>5</v>
      </c>
      <c r="Y858">
        <v>10</v>
      </c>
      <c r="Z858">
        <v>729</v>
      </c>
      <c r="AA858">
        <v>462</v>
      </c>
    </row>
    <row r="859" spans="1:27" hidden="1">
      <c r="A859">
        <v>52</v>
      </c>
      <c r="B859">
        <v>0</v>
      </c>
      <c r="C859">
        <v>22.832879346258611</v>
      </c>
      <c r="D859">
        <v>0</v>
      </c>
      <c r="E859">
        <v>1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69</v>
      </c>
      <c r="M859">
        <v>309</v>
      </c>
      <c r="N859">
        <v>224</v>
      </c>
      <c r="O859" s="3">
        <v>1.3794642857142858</v>
      </c>
      <c r="P859">
        <v>40</v>
      </c>
      <c r="Q859">
        <v>48.205928237129477</v>
      </c>
      <c r="R859">
        <v>0.5024950262558816</v>
      </c>
      <c r="S859">
        <v>29.843881419595821</v>
      </c>
      <c r="T859">
        <v>7.5472338794142102</v>
      </c>
      <c r="U859">
        <v>11</v>
      </c>
      <c r="V859">
        <v>4</v>
      </c>
      <c r="W859">
        <v>38</v>
      </c>
      <c r="X859">
        <v>15</v>
      </c>
      <c r="Y859">
        <v>14</v>
      </c>
      <c r="Z859">
        <v>1565</v>
      </c>
      <c r="AA859">
        <v>924</v>
      </c>
    </row>
    <row r="860" spans="1:27" hidden="1">
      <c r="A860">
        <v>51</v>
      </c>
      <c r="B860">
        <v>1</v>
      </c>
      <c r="C860">
        <v>23.875114784205699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0</v>
      </c>
      <c r="L860">
        <v>57</v>
      </c>
      <c r="M860">
        <v>179</v>
      </c>
      <c r="N860">
        <v>92</v>
      </c>
      <c r="O860" s="3">
        <v>1.9456521739130435</v>
      </c>
      <c r="P860">
        <v>32</v>
      </c>
      <c r="Q860">
        <v>60.067114093959731</v>
      </c>
      <c r="R860">
        <v>1.933347936502738</v>
      </c>
      <c r="S860">
        <v>28.853881461551929</v>
      </c>
      <c r="T860">
        <v>5.815056814342527</v>
      </c>
      <c r="U860">
        <v>13</v>
      </c>
      <c r="V860">
        <v>19</v>
      </c>
      <c r="W860">
        <v>39</v>
      </c>
      <c r="X860">
        <v>17</v>
      </c>
      <c r="Y860">
        <v>16</v>
      </c>
      <c r="Z860">
        <v>1082</v>
      </c>
      <c r="AA860">
        <v>784</v>
      </c>
    </row>
    <row r="861" spans="1:27" hidden="1">
      <c r="A861">
        <v>37</v>
      </c>
      <c r="B861">
        <v>0</v>
      </c>
      <c r="C861">
        <v>22.582709172343709</v>
      </c>
      <c r="D861">
        <v>0</v>
      </c>
      <c r="E861">
        <v>1</v>
      </c>
      <c r="F861">
        <v>0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66</v>
      </c>
      <c r="M861">
        <v>219</v>
      </c>
      <c r="N861">
        <v>440</v>
      </c>
      <c r="O861" s="3">
        <v>0.49772727272727274</v>
      </c>
      <c r="P861">
        <v>36</v>
      </c>
      <c r="Q861">
        <v>30.715287517531561</v>
      </c>
      <c r="R861">
        <v>0.62730219841486767</v>
      </c>
      <c r="S861">
        <v>28.582671217741058</v>
      </c>
      <c r="T861">
        <v>8.0457236027217434</v>
      </c>
      <c r="U861">
        <v>24</v>
      </c>
      <c r="V861">
        <v>23</v>
      </c>
      <c r="W861">
        <v>61</v>
      </c>
      <c r="X861">
        <v>36</v>
      </c>
      <c r="Y861">
        <v>20</v>
      </c>
      <c r="Z861">
        <v>1368</v>
      </c>
      <c r="AA861">
        <v>655</v>
      </c>
    </row>
    <row r="862" spans="1:27" hidden="1">
      <c r="A862">
        <v>56</v>
      </c>
      <c r="B862">
        <v>1</v>
      </c>
      <c r="C862">
        <v>21.718066089745729</v>
      </c>
      <c r="D862">
        <v>0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72</v>
      </c>
      <c r="M862">
        <v>157</v>
      </c>
      <c r="N862">
        <v>361</v>
      </c>
      <c r="O862" s="3">
        <v>0.43490304709141275</v>
      </c>
      <c r="P862">
        <v>33</v>
      </c>
      <c r="Q862">
        <v>25.12</v>
      </c>
      <c r="R862">
        <v>0.42240758536213391</v>
      </c>
      <c r="S862">
        <v>29.46339507822027</v>
      </c>
      <c r="T862">
        <v>7.8110844360945997</v>
      </c>
      <c r="U862">
        <v>8</v>
      </c>
      <c r="V862">
        <v>11</v>
      </c>
      <c r="W862">
        <v>48</v>
      </c>
      <c r="X862">
        <v>14</v>
      </c>
      <c r="Y862">
        <v>3</v>
      </c>
      <c r="Z862">
        <v>1018</v>
      </c>
      <c r="AA862">
        <v>393</v>
      </c>
    </row>
    <row r="863" spans="1:27" hidden="1">
      <c r="A863">
        <v>52</v>
      </c>
      <c r="B863">
        <v>0</v>
      </c>
      <c r="C863">
        <v>24.088223117166621</v>
      </c>
      <c r="D863">
        <v>0</v>
      </c>
      <c r="E863">
        <v>0</v>
      </c>
      <c r="F863">
        <v>0</v>
      </c>
      <c r="G863">
        <v>1</v>
      </c>
      <c r="H863">
        <v>1</v>
      </c>
      <c r="I863">
        <v>0</v>
      </c>
      <c r="J863">
        <v>0</v>
      </c>
      <c r="K863">
        <v>0</v>
      </c>
      <c r="L863">
        <v>75</v>
      </c>
      <c r="M863">
        <v>172</v>
      </c>
      <c r="N863">
        <v>722</v>
      </c>
      <c r="O863" s="3">
        <v>0.23822714681440443</v>
      </c>
      <c r="P863">
        <v>38</v>
      </c>
      <c r="Q863">
        <v>18.317358892438769</v>
      </c>
      <c r="R863">
        <v>0.65521811835261756</v>
      </c>
      <c r="S863">
        <v>29.756402705245421</v>
      </c>
      <c r="T863">
        <v>8.1036765271765265</v>
      </c>
      <c r="U863">
        <v>19</v>
      </c>
      <c r="V863">
        <v>37</v>
      </c>
      <c r="W863">
        <v>65</v>
      </c>
      <c r="X863">
        <v>21</v>
      </c>
      <c r="Y863">
        <v>34</v>
      </c>
      <c r="Z863">
        <v>1403</v>
      </c>
      <c r="AA863">
        <v>464</v>
      </c>
    </row>
    <row r="864" spans="1:27">
      <c r="A864">
        <v>37</v>
      </c>
      <c r="B864">
        <v>1</v>
      </c>
      <c r="C864">
        <v>25.605536332179931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82</v>
      </c>
      <c r="M864">
        <v>53</v>
      </c>
      <c r="N864">
        <v>22</v>
      </c>
      <c r="O864" s="3">
        <v>2.4090909090909092</v>
      </c>
      <c r="P864">
        <v>15</v>
      </c>
      <c r="Q864">
        <v>66.25</v>
      </c>
      <c r="R864">
        <v>0.47371283901106742</v>
      </c>
      <c r="S864">
        <v>31.252866680385448</v>
      </c>
      <c r="T864">
        <v>5.1417692697017934</v>
      </c>
      <c r="U864">
        <v>10</v>
      </c>
      <c r="V864">
        <v>30</v>
      </c>
      <c r="W864">
        <v>53</v>
      </c>
      <c r="X864">
        <v>24</v>
      </c>
      <c r="Y864">
        <v>14</v>
      </c>
      <c r="Z864">
        <v>279</v>
      </c>
      <c r="AA864">
        <v>199</v>
      </c>
    </row>
    <row r="865" spans="1:27" hidden="1">
      <c r="A865">
        <v>58</v>
      </c>
      <c r="B865">
        <v>0</v>
      </c>
      <c r="C865">
        <v>21.829952199932251</v>
      </c>
      <c r="D865">
        <v>0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  <c r="K865">
        <v>0</v>
      </c>
      <c r="L865">
        <v>79</v>
      </c>
      <c r="M865">
        <v>801</v>
      </c>
      <c r="N865">
        <v>1447</v>
      </c>
      <c r="O865" s="3">
        <v>0.55355908776779539</v>
      </c>
      <c r="P865">
        <v>177</v>
      </c>
      <c r="Q865">
        <v>3.790639345038096</v>
      </c>
      <c r="R865">
        <v>0.58991328680593047</v>
      </c>
      <c r="S865">
        <v>27.974534684523</v>
      </c>
      <c r="T865">
        <v>41.829071269841279</v>
      </c>
      <c r="U865">
        <v>14</v>
      </c>
      <c r="V865">
        <v>16</v>
      </c>
      <c r="W865">
        <v>76</v>
      </c>
      <c r="X865">
        <v>5</v>
      </c>
      <c r="Y865">
        <v>13</v>
      </c>
      <c r="Z865">
        <v>21728</v>
      </c>
      <c r="AA865">
        <v>597</v>
      </c>
    </row>
    <row r="866" spans="1:27" hidden="1">
      <c r="A866">
        <v>40</v>
      </c>
      <c r="B866">
        <v>0</v>
      </c>
      <c r="C866">
        <v>20.45184304399524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81</v>
      </c>
      <c r="M866">
        <v>117</v>
      </c>
      <c r="N866">
        <v>100</v>
      </c>
      <c r="O866" s="3">
        <v>1.17</v>
      </c>
      <c r="P866">
        <v>18</v>
      </c>
      <c r="Q866">
        <v>49.787234042553187</v>
      </c>
      <c r="R866">
        <v>1.0145648942348811</v>
      </c>
      <c r="S866">
        <v>30.531116017653151</v>
      </c>
      <c r="T866">
        <v>5.5928960763948687</v>
      </c>
      <c r="U866">
        <v>8</v>
      </c>
      <c r="V866">
        <v>17</v>
      </c>
      <c r="W866">
        <v>45</v>
      </c>
      <c r="X866">
        <v>3</v>
      </c>
      <c r="Y866">
        <v>9</v>
      </c>
      <c r="Z866">
        <v>403</v>
      </c>
      <c r="AA866">
        <v>168</v>
      </c>
    </row>
    <row r="867" spans="1:27">
      <c r="A867">
        <v>23</v>
      </c>
      <c r="B867">
        <v>0</v>
      </c>
      <c r="C867">
        <v>22.832879346258611</v>
      </c>
      <c r="D867">
        <v>0</v>
      </c>
      <c r="E867">
        <v>0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79</v>
      </c>
      <c r="M867">
        <v>296</v>
      </c>
      <c r="N867">
        <v>113</v>
      </c>
      <c r="O867" s="3">
        <v>2.6194690265486726</v>
      </c>
      <c r="P867">
        <v>46</v>
      </c>
      <c r="Q867">
        <v>19.74649766511007</v>
      </c>
      <c r="R867">
        <v>0.38573794284508461</v>
      </c>
      <c r="S867">
        <v>28.18215794949495</v>
      </c>
      <c r="T867">
        <v>9.4187934647060292</v>
      </c>
      <c r="U867">
        <v>14</v>
      </c>
      <c r="V867">
        <v>39</v>
      </c>
      <c r="W867">
        <v>66</v>
      </c>
      <c r="X867">
        <v>50</v>
      </c>
      <c r="Y867">
        <v>22</v>
      </c>
      <c r="Z867">
        <v>2008</v>
      </c>
      <c r="AA867">
        <v>509</v>
      </c>
    </row>
  </sheetData>
  <autoFilter ref="A1:AA867" xr:uid="{779311B5-B663-4410-8F0B-90064202024C}">
    <filterColumn colId="5">
      <filters>
        <filter val="1"/>
      </filters>
    </filterColumn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B4BB9-E9F3-4D15-A093-347CE3383DCE}">
  <dimension ref="G5:L18"/>
  <sheetViews>
    <sheetView tabSelected="1" workbookViewId="0">
      <selection activeCell="N21" sqref="N21"/>
    </sheetView>
  </sheetViews>
  <sheetFormatPr defaultRowHeight="15.75"/>
  <sheetData>
    <row r="5" spans="7:12">
      <c r="G5" t="s">
        <v>769</v>
      </c>
      <c r="H5" t="s">
        <v>764</v>
      </c>
      <c r="I5" t="s">
        <v>3</v>
      </c>
      <c r="J5" t="s">
        <v>5</v>
      </c>
      <c r="K5" t="s">
        <v>4</v>
      </c>
      <c r="L5" t="s">
        <v>6</v>
      </c>
    </row>
    <row r="6" spans="7:12">
      <c r="G6">
        <v>0</v>
      </c>
      <c r="H6">
        <f>$H9-H7</f>
        <v>231</v>
      </c>
      <c r="I6">
        <f>$H9-I7</f>
        <v>378</v>
      </c>
      <c r="J6">
        <f>$H9-J7</f>
        <v>456</v>
      </c>
      <c r="K6">
        <f>$H9-K7</f>
        <v>402</v>
      </c>
      <c r="L6">
        <f>$H9-L7</f>
        <v>339</v>
      </c>
    </row>
    <row r="7" spans="7:12">
      <c r="G7">
        <v>1</v>
      </c>
      <c r="H7">
        <v>271</v>
      </c>
      <c r="I7">
        <v>124</v>
      </c>
      <c r="J7">
        <v>46</v>
      </c>
      <c r="K7">
        <v>100</v>
      </c>
      <c r="L7">
        <v>163</v>
      </c>
    </row>
    <row r="9" spans="7:12">
      <c r="G9" t="s">
        <v>771</v>
      </c>
      <c r="H9">
        <v>502</v>
      </c>
    </row>
    <row r="14" spans="7:12">
      <c r="G14" t="s">
        <v>770</v>
      </c>
      <c r="H14" t="s">
        <v>764</v>
      </c>
      <c r="I14" t="s">
        <v>3</v>
      </c>
      <c r="J14" t="s">
        <v>5</v>
      </c>
      <c r="K14" t="s">
        <v>4</v>
      </c>
      <c r="L14" t="s">
        <v>6</v>
      </c>
    </row>
    <row r="15" spans="7:12">
      <c r="G15">
        <v>0</v>
      </c>
      <c r="H15">
        <f>$H18-H16</f>
        <v>194</v>
      </c>
      <c r="I15">
        <f>$H18-I16</f>
        <v>230</v>
      </c>
      <c r="J15">
        <f>$H18-J16</f>
        <v>289</v>
      </c>
      <c r="K15">
        <f>$H18-K16</f>
        <v>306</v>
      </c>
      <c r="L15">
        <f>$H18-L16</f>
        <v>265</v>
      </c>
    </row>
    <row r="16" spans="7:12">
      <c r="G16">
        <v>1</v>
      </c>
      <c r="H16">
        <v>170</v>
      </c>
      <c r="I16">
        <v>134</v>
      </c>
      <c r="J16">
        <v>75</v>
      </c>
      <c r="K16">
        <v>58</v>
      </c>
      <c r="L16">
        <v>99</v>
      </c>
    </row>
    <row r="18" spans="7:8">
      <c r="G18" t="s">
        <v>771</v>
      </c>
      <c r="H18">
        <v>364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Data1</vt:lpstr>
      <vt:lpstr>Data2</vt:lpstr>
      <vt:lpstr>Filled_AllData</vt:lpstr>
      <vt:lpstr>LABEL_Amount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user</cp:lastModifiedBy>
  <dcterms:created xsi:type="dcterms:W3CDTF">2007-02-23T14:58:14Z</dcterms:created>
  <dcterms:modified xsi:type="dcterms:W3CDTF">2025-11-27T13:53:18Z</dcterms:modified>
</cp:coreProperties>
</file>